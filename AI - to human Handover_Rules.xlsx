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andover rules" sheetId="2" state="visible" r:id="rId4"/>
    <sheet name="Lead qualification" sheetId="3" state="visible" r:id="rId5"/>
    <sheet name="AI guardrails" sheetId="4" state="visible" r:id="rId6"/>
    <sheet name="Handover and after" sheetId="5" state="visible" r:id="rId7"/>
    <sheet name="Controls and KP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<sst xmlns="http://schemas.openxmlformats.org/spreadsheetml/2006/main" count="239" uniqueCount="188">
  <si>
    <t xml:space="preserve">Handover rules: AI to human</t>
  </si>
  <si>
    <t xml:space="preserve">Outbound sales system for the push-to-talk business. Source: the handover design agreed in this conversation.</t>
  </si>
  <si>
    <t xml:space="preserve">Purpose</t>
  </si>
  <si>
    <t xml:space="preserve">Defines when the AI handles a reply, when a human takes over, and what a warm qualified lead is. Every reply lands in one of three outcomes: the AI handles it, a human takes it, or the contact is suppressed.</t>
  </si>
  <si>
    <t xml:space="preserve">Sheets</t>
  </si>
  <si>
    <t xml:space="preserve">  Handover rules</t>
  </si>
  <si>
    <t xml:space="preserve">Reply types, outcome, owner and response target for each.</t>
  </si>
  <si>
    <t xml:space="preserve">  Lead qualification</t>
  </si>
  <si>
    <t xml:space="preserve">Fit, role and intent test per lead. Fill in the yellow cells; the result calculates.</t>
  </si>
  <si>
    <t xml:space="preserve">  AI guardrails</t>
  </si>
  <si>
    <t xml:space="preserve">Hard limits, disclosure rules, the keyword list that forces escalation, and a keyword tester.</t>
  </si>
  <si>
    <t xml:space="preserve">  Handover and after</t>
  </si>
  <si>
    <t xml:space="preserve">What the human receives, and the steps after handover, with owner and status columns for rollout.</t>
  </si>
  <si>
    <t xml:space="preserve">  Controls and KPIs</t>
  </si>
  <si>
    <t xml:space="preserve">Review levels, kill switch and the quality measures.</t>
  </si>
  <si>
    <t xml:space="preserve">Legend</t>
  </si>
  <si>
    <t xml:space="preserve">Yellow cells with blue text are inputs you can edit. Everything else is fixed text or a formula.</t>
  </si>
  <si>
    <t xml:space="preserve">Example rows</t>
  </si>
  <si>
    <t xml:space="preserve">Lead qualification row 7 and the keyword tester reply on AI guardrails are examples showing the format. Replace or clear them.</t>
  </si>
  <si>
    <t xml:space="preserve">Assumptions</t>
  </si>
  <si>
    <t xml:space="preserve">1) Minimum team size on Lead qualification is a PLACEHOLDER (20). Set your own; it was not specified.
2) Response targets (1 hour for meeting requests, 4 business hours for other handovers, 1 business day for compliance) come from the design and are editable on Handover rules.
3) Keywords and the 10-20% review sample after the first month come from the design and are editable.
4) Keyword matching is a simple text search anywhere in the reply, so it will not catch every phrasing. Treat it as a safety net, not the only control.</t>
  </si>
  <si>
    <t xml:space="preserve">Not in this file</t>
  </si>
  <si>
    <t xml:space="preserve">Pricing, legal terms and consent rules by country. Have local counsel confirm country-specific rules before relying on the compliance routing.</t>
  </si>
  <si>
    <t xml:space="preserve">Handover rules: who handles each reply</t>
  </si>
  <si>
    <t xml:space="preserve">Every reply lands in one of three outcomes: AI handles it, a human takes it, or the contact is suppressed.</t>
  </si>
  <si>
    <t xml:space="preserve">Response targets (editable)</t>
  </si>
  <si>
    <t xml:space="preserve">Meeting requests (hours)</t>
  </si>
  <si>
    <t xml:space="preserve">Values from the design; adjust to your team.</t>
  </si>
  <si>
    <t xml:space="preserve">Other human handovers (business hours)</t>
  </si>
  <si>
    <t xml:space="preserve">Compliance escalations (business days)</t>
  </si>
  <si>
    <t xml:space="preserve">#</t>
  </si>
  <si>
    <t xml:space="preserve">Reply type</t>
  </si>
  <si>
    <t xml:space="preserve">Outcome</t>
  </si>
  <si>
    <t xml:space="preserve">Who handles</t>
  </si>
  <si>
    <t xml:space="preserve">Response target</t>
  </si>
  <si>
    <t xml:space="preserve">What the AI may do</t>
  </si>
  <si>
    <t xml:space="preserve">Notes</t>
  </si>
  <si>
    <t xml:space="preserve">Unsubscribe, "remove me" or "stop"</t>
  </si>
  <si>
    <t xml:space="preserve">AI handles</t>
  </si>
  <si>
    <t xml:space="preserve">AI (automatic)</t>
  </si>
  <si>
    <t xml:space="preserve">Immediately</t>
  </si>
  <si>
    <t xml:space="preserve">Suppress the contact across every tool</t>
  </si>
  <si>
    <t xml:space="preserve">No human needed.</t>
  </si>
  <si>
    <t xml:space="preserve">Out-of-office, or wrong person with a referral</t>
  </si>
  <si>
    <t xml:space="preserve">Automatic</t>
  </si>
  <si>
    <t xml:space="preserve">Log it; ask for the referral once</t>
  </si>
  <si>
    <t xml:space="preserve">Simple factual question covered by approved material</t>
  </si>
  <si>
    <t xml:space="preserve">Answer from the approved knowledge base only</t>
  </si>
  <si>
    <t xml:space="preserve">What PTT over cellular is, supported devices, countries.</t>
  </si>
  <si>
    <t xml:space="preserve">Asks for a demo, call or meeting</t>
  </si>
  <si>
    <t xml:space="preserve">Human takes over now</t>
  </si>
  <si>
    <t xml:space="preserve">Sales (human)</t>
  </si>
  <si>
    <t xml:space="preserve">One holding reply only</t>
  </si>
  <si>
    <t xml:space="preserve">Highest-priority handover.</t>
  </si>
  <si>
    <t xml:space="preserve">Price, licence terms, contract, SLA, security, data residency</t>
  </si>
  <si>
    <t xml:space="preserve">One holding reply only; never quote</t>
  </si>
  <si>
    <t xml:space="preserve">Partner questions (margins, exclusivity, territory)</t>
  </si>
  <si>
    <t xml:space="preserve">Never handled by the AI.</t>
  </si>
  <si>
    <t xml:space="preserve">Complaint, legal threat, data-access or deletion request</t>
  </si>
  <si>
    <t xml:space="preserve">Escalate to compliance</t>
  </si>
  <si>
    <t xml:space="preserve">Compliance owner (not sales)</t>
  </si>
  <si>
    <t xml:space="preserve">Route only</t>
  </si>
  <si>
    <t xml:space="preserve">Goes to whoever owns compliance.</t>
  </si>
  <si>
    <t xml:space="preserve">C-level or MD reply, second contact from the same account, or a forward to a colleague</t>
  </si>
  <si>
    <t xml:space="preserve">Signals a real buying conversation.</t>
  </si>
  <si>
    <t xml:space="preserve">Anything the AI is not confident about</t>
  </si>
  <si>
    <t xml:space="preserve">Default for uncertainty.</t>
  </si>
  <si>
    <t xml:space="preserve">The AI may send one holding reply ("a colleague will respond today") and nothing more.</t>
  </si>
  <si>
    <t xml:space="preserve">If nobody acts within the target, the alert goes to a second person.</t>
  </si>
  <si>
    <t xml:space="preserve">Targets run in the lead's time zone. Route by language (Arabic, English, French, Swahili) where you have the people.</t>
  </si>
  <si>
    <t xml:space="preserve">Lead qualification: when is a lead warm and qualified?</t>
  </si>
  <si>
    <t xml:space="preserve">All three tests (fit, role, intent) must be met. Need and timing are for the human to discover on the first call.</t>
  </si>
  <si>
    <t xml:space="preserve">Minimum team size</t>
  </si>
  <si>
    <t xml:space="preserve">PLACEHOLDER: replace with your own minimum. It was not specified.</t>
  </si>
  <si>
    <t xml:space="preserve">Warm qualified</t>
  </si>
  <si>
    <t xml:space="preserve">Nurture</t>
  </si>
  <si>
    <t xml:space="preserve">Lead / company</t>
  </si>
  <si>
    <t xml:space="preserve">Country</t>
  </si>
  <si>
    <t xml:space="preserve">Segment fit?</t>
  </si>
  <si>
    <t xml:space="preserve">Country permitted?</t>
  </si>
  <si>
    <t xml:space="preserve">Team size</t>
  </si>
  <si>
    <t xml:space="preserve">Role a target?</t>
  </si>
  <si>
    <t xml:space="preserve">Intent signal?</t>
  </si>
  <si>
    <t xml:space="preserve">Result</t>
  </si>
  <si>
    <t xml:space="preserve">Reason</t>
  </si>
  <si>
    <t xml:space="preserve">Example Logistics LLC (replace)</t>
  </si>
  <si>
    <t xml:space="preserve">UAE</t>
  </si>
  <si>
    <t xml:space="preserve">Yes</t>
  </si>
  <si>
    <t xml:space="preserve">A positive reply that fails fit or role goes to nurture. Row 7 is an example; overwrite it.</t>
  </si>
  <si>
    <t xml:space="preserve">AI guardrails: hard limits the AI cannot override</t>
  </si>
  <si>
    <t xml:space="preserve">Keyword triggers force escalation regardless of how the AI reads the message.</t>
  </si>
  <si>
    <t xml:space="preserve">Hard limits: the AI must never</t>
  </si>
  <si>
    <t xml:space="preserve">Area</t>
  </si>
  <si>
    <t xml:space="preserve">Rule</t>
  </si>
  <si>
    <t xml:space="preserve">Pricing</t>
  </si>
  <si>
    <t xml:space="preserve">Quote prices or discounts</t>
  </si>
  <si>
    <t xml:space="preserve">Delivery</t>
  </si>
  <si>
    <t xml:space="preserve">Promise delivery dates</t>
  </si>
  <si>
    <t xml:space="preserve">Legal, regulatory, security</t>
  </si>
  <si>
    <t xml:space="preserve">Make legal, regulatory or security claims</t>
  </si>
  <si>
    <t xml:space="preserve">Competitors</t>
  </si>
  <si>
    <t xml:space="preserve">Discuss competitors beyond approved lines</t>
  </si>
  <si>
    <t xml:space="preserve">Partner terms</t>
  </si>
  <si>
    <t xml:space="preserve">Agree partner terms</t>
  </si>
  <si>
    <t xml:space="preserve">Disclosure</t>
  </si>
  <si>
    <t xml:space="preserve">When asked</t>
  </si>
  <si>
    <t xml:space="preserve">Say it is an automated assistant</t>
  </si>
  <si>
    <t xml:space="preserve">Signature</t>
  </si>
  <si>
    <t xml:space="preserve">Do not sign as a named human</t>
  </si>
  <si>
    <t xml:space="preserve">Keyword triggers (editable)</t>
  </si>
  <si>
    <t xml:space="preserve">Keyword</t>
  </si>
  <si>
    <t xml:space="preserve">Effect</t>
  </si>
  <si>
    <t xml:space="preserve">price</t>
  </si>
  <si>
    <t xml:space="preserve">Forces escalation to a human</t>
  </si>
  <si>
    <t xml:space="preserve">quote</t>
  </si>
  <si>
    <t xml:space="preserve">contract</t>
  </si>
  <si>
    <t xml:space="preserve">legal</t>
  </si>
  <si>
    <t xml:space="preserve">GDPR</t>
  </si>
  <si>
    <t xml:space="preserve">complaint</t>
  </si>
  <si>
    <t xml:space="preserve">lawyer</t>
  </si>
  <si>
    <t xml:space="preserve">Add more keywords here</t>
  </si>
  <si>
    <t xml:space="preserve">Matching is a simple text search anywhere in the reply, so "price" also catches "pricing". It is a safety net, not the only control.</t>
  </si>
  <si>
    <t xml:space="preserve">Keyword tester</t>
  </si>
  <si>
    <t xml:space="preserve">Reply text (example: replace)</t>
  </si>
  <si>
    <t xml:space="preserve">Hi, can you send me a quote for 50 users?</t>
  </si>
  <si>
    <t xml:space="preserve">Keywords found</t>
  </si>
  <si>
    <t xml:space="preserve">Handover pack and what happens after</t>
  </si>
  <si>
    <t xml:space="preserve">Use the owner and status columns to track rollout. Owner and status cells are yellow inputs.</t>
  </si>
  <si>
    <t xml:space="preserve">What the human receives (as an Odoo CRM lead plus an alert by email or chat)</t>
  </si>
  <si>
    <t xml:space="preserve">Item</t>
  </si>
  <si>
    <t xml:space="preserve">Detail</t>
  </si>
  <si>
    <t xml:space="preserve">Owner</t>
  </si>
  <si>
    <t xml:space="preserve">Status</t>
  </si>
  <si>
    <t xml:space="preserve">Full thread</t>
  </si>
  <si>
    <t xml:space="preserve">Every message, including what the AI sent</t>
  </si>
  <si>
    <t xml:space="preserve">Not started</t>
  </si>
  <si>
    <t xml:space="preserve">Company and role details</t>
  </si>
  <si>
    <t xml:space="preserve">From enrichment</t>
  </si>
  <si>
    <t xml:space="preserve">Channel permissions and consent record</t>
  </si>
  <si>
    <t xml:space="preserve">The country's channel permissions and the contact's consent or lawful-basis record</t>
  </si>
  <si>
    <t xml:space="preserve">Qualification score and why</t>
  </si>
  <si>
    <t xml:space="preserve">Fit, role and intent result with the reason</t>
  </si>
  <si>
    <t xml:space="preserve">Suggested next step</t>
  </si>
  <si>
    <t xml:space="preserve">Recommended action for the human</t>
  </si>
  <si>
    <t xml:space="preserve">Risk flags</t>
  </si>
  <si>
    <t xml:space="preserve">Anything the human should check before replying</t>
  </si>
  <si>
    <t xml:space="preserve">After handover</t>
  </si>
  <si>
    <t xml:space="preserve">Step</t>
  </si>
  <si>
    <t xml:space="preserve">AI stops contacting the person</t>
  </si>
  <si>
    <t xml:space="preserve">No further AI messages once handed over</t>
  </si>
  <si>
    <t xml:space="preserve">Sequences pause for the whole account</t>
  </si>
  <si>
    <t xml:space="preserve">So a colleague is not emailed mid-conversation</t>
  </si>
  <si>
    <t xml:space="preserve">Human records one outcome</t>
  </si>
  <si>
    <t xml:space="preserve">Qualified, nurture, or disqualified with a reason</t>
  </si>
  <si>
    <t xml:space="preserve">Nurture returns to a slower sequence</t>
  </si>
  <si>
    <t xml:space="preserve">After a cooling-off period</t>
  </si>
  <si>
    <t xml:space="preserve">Disqualify reasons feed the target profile</t>
  </si>
  <si>
    <t xml:space="preserve">Used to refine who you target</t>
  </si>
  <si>
    <t xml:space="preserve">AI resumes only when a human releases the account</t>
  </si>
  <si>
    <t xml:space="preserve">No automatic restart</t>
  </si>
  <si>
    <t xml:space="preserve">Controls and KPIs</t>
  </si>
  <si>
    <t xml:space="preserve">Review levels, the kill switch and the measures that show whether the rules are working.</t>
  </si>
  <si>
    <t xml:space="preserve">Review levels</t>
  </si>
  <si>
    <t xml:space="preserve">Phase</t>
  </si>
  <si>
    <t xml:space="preserve">Review approach</t>
  </si>
  <si>
    <t xml:space="preserve">Sample low</t>
  </si>
  <si>
    <t xml:space="preserve">Sample high</t>
  </si>
  <si>
    <t xml:space="preserve">First month</t>
  </si>
  <si>
    <t xml:space="preserve">A person reviews every AI reply before it sends</t>
  </si>
  <si>
    <t xml:space="preserve">After the first month</t>
  </si>
  <si>
    <t xml:space="preserve">Sample review of AI replies</t>
  </si>
  <si>
    <t xml:space="preserve">Kill switch</t>
  </si>
  <si>
    <t xml:space="preserve">Control</t>
  </si>
  <si>
    <t xml:space="preserve">Pauses all sending immediately, at any time</t>
  </si>
  <si>
    <t xml:space="preserve">Quality tracking (enter counts)</t>
  </si>
  <si>
    <t xml:space="preserve">Measure</t>
  </si>
  <si>
    <t xml:space="preserve">Note</t>
  </si>
  <si>
    <t xml:space="preserve">Value</t>
  </si>
  <si>
    <t xml:space="preserve">Leads handed over (count)</t>
  </si>
  <si>
    <t xml:space="preserve">Leads sent to a human as warm and qualified</t>
  </si>
  <si>
    <t xml:space="preserve">Accepted by humans as qualified (count)</t>
  </si>
  <si>
    <t xml:space="preserve">Of those handed over</t>
  </si>
  <si>
    <t xml:space="preserve">Acceptance rate</t>
  </si>
  <si>
    <t xml:space="preserve">Shows whether the scoring is right</t>
  </si>
  <si>
    <t xml:space="preserve">Escalations the AI missed (target 0)</t>
  </si>
  <si>
    <t xml:space="preserve">Replies that should have gone to a human or compliance</t>
  </si>
  <si>
    <t xml:space="preserve">Missed-escalation status</t>
  </si>
  <si>
    <t xml:space="preserve">Any miss needs investigating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</si>
</sst>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A5F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/>
    </row>
    <row r="6" customFormat="false" ht="18" hidden="false" customHeight="true" outlineLevel="0" collapsed="false">
      <c r="A6" s="5" t="s">
        <v>5</v>
      </c>
      <c r="B6" s="4" t="s">
        <v>6</v>
      </c>
    </row>
    <row r="7" customFormat="false" ht="18" hidden="false" customHeight="true" outlineLevel="0" collapsed="false">
      <c r="A7" s="5" t="s">
        <v>7</v>
      </c>
      <c r="B7" s="4" t="s">
        <v>8</v>
      </c>
    </row>
    <row r="8" customFormat="false" ht="18" hidden="false" customHeight="true" outlineLevel="0" collapsed="false">
      <c r="A8" s="5" t="s">
        <v>9</v>
      </c>
      <c r="B8" s="4" t="s">
        <v>10</v>
      </c>
    </row>
    <row r="9" customFormat="false" ht="18" hidden="false" customHeight="true" outlineLevel="0" collapsed="false">
      <c r="A9" s="5" t="s">
        <v>11</v>
      </c>
      <c r="B9" s="4" t="s">
        <v>12</v>
      </c>
    </row>
    <row r="10" customFormat="false" ht="18" hidden="false" customHeight="true" outlineLevel="0" collapsed="false">
      <c r="A10" s="5" t="s">
        <v>13</v>
      </c>
      <c r="B10" s="4" t="s">
        <v>14</v>
      </c>
    </row>
    <row r="11" customFormat="false" ht="18" hidden="false" customHeight="true" outlineLevel="0" collapsed="false">
      <c r="A11" s="3" t="s">
        <v>15</v>
      </c>
      <c r="B11" s="4" t="s">
        <v>16</v>
      </c>
    </row>
    <row r="12" customFormat="false" ht="31.5" hidden="false" customHeight="true" outlineLevel="0" collapsed="false">
      <c r="A12" s="3" t="s">
        <v>17</v>
      </c>
      <c r="B12" s="4" t="s">
        <v>18</v>
      </c>
    </row>
    <row r="13" customFormat="false" ht="112.5" hidden="false" customHeight="true" outlineLevel="0" collapsed="false">
      <c r="A13" s="3" t="s">
        <v>19</v>
      </c>
      <c r="B13" s="4" t="s">
        <v>20</v>
      </c>
    </row>
    <row r="14" customFormat="false" ht="31.5" hidden="false" customHeight="true" outlineLevel="0" collapsed="false">
      <c r="A14" s="3" t="s">
        <v>21</v>
      </c>
      <c r="B14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6" t="s">
        <v>25</v>
      </c>
    </row>
    <row r="5" customFormat="false" ht="15" hidden="false" customHeight="false" outlineLevel="0" collapsed="false">
      <c r="B5" s="5" t="s">
        <v>26</v>
      </c>
      <c r="C5" s="7" t="n">
        <v>1</v>
      </c>
      <c r="D5" s="8" t="s">
        <v>27</v>
      </c>
    </row>
    <row r="6" customFormat="false" ht="15" hidden="false" customHeight="false" outlineLevel="0" collapsed="false">
      <c r="B6" s="5" t="s">
        <v>28</v>
      </c>
      <c r="C6" s="7" t="n">
        <v>4</v>
      </c>
    </row>
    <row r="7" customFormat="false" ht="15" hidden="false" customHeight="false" outlineLevel="0" collapsed="false">
      <c r="B7" s="5" t="s">
        <v>29</v>
      </c>
      <c r="C7" s="7" t="n">
        <v>1</v>
      </c>
    </row>
    <row r="9" customFormat="false" ht="21.75" hidden="false" customHeight="true" outlineLevel="0" collapsed="false">
      <c r="A9" s="9" t="s">
        <v>30</v>
      </c>
      <c r="B9" s="9" t="s">
        <v>31</v>
      </c>
      <c r="C9" s="9" t="s">
        <v>32</v>
      </c>
      <c r="D9" s="9" t="s">
        <v>33</v>
      </c>
      <c r="E9" s="9" t="s">
        <v>34</v>
      </c>
      <c r="F9" s="9" t="s">
        <v>35</v>
      </c>
      <c r="G9" s="9" t="s">
        <v>36</v>
      </c>
    </row>
    <row r="10" customFormat="false" ht="18" hidden="false" customHeight="true" outlineLevel="0" collapsed="false">
      <c r="A10" s="10" t="n">
        <v>1</v>
      </c>
      <c r="B10" s="4" t="s">
        <v>37</v>
      </c>
      <c r="C10" s="11" t="s">
        <v>38</v>
      </c>
      <c r="D10" s="4" t="s">
        <v>39</v>
      </c>
      <c r="E10" s="4" t="s">
        <v>40</v>
      </c>
      <c r="F10" s="4" t="s">
        <v>41</v>
      </c>
      <c r="G10" s="4" t="s">
        <v>42</v>
      </c>
    </row>
    <row r="11" customFormat="false" ht="18" hidden="false" customHeight="true" outlineLevel="0" collapsed="false">
      <c r="A11" s="10" t="n">
        <v>2</v>
      </c>
      <c r="B11" s="4" t="s">
        <v>43</v>
      </c>
      <c r="C11" s="11" t="s">
        <v>38</v>
      </c>
      <c r="D11" s="4" t="s">
        <v>39</v>
      </c>
      <c r="E11" s="4" t="s">
        <v>44</v>
      </c>
      <c r="F11" s="4" t="s">
        <v>45</v>
      </c>
      <c r="G11" s="4"/>
    </row>
    <row r="12" customFormat="false" ht="31.5" hidden="false" customHeight="true" outlineLevel="0" collapsed="false">
      <c r="A12" s="10" t="n">
        <v>3</v>
      </c>
      <c r="B12" s="4" t="s">
        <v>46</v>
      </c>
      <c r="C12" s="11" t="s">
        <v>38</v>
      </c>
      <c r="D12" s="4" t="s">
        <v>39</v>
      </c>
      <c r="E12" s="4" t="s">
        <v>44</v>
      </c>
      <c r="F12" s="4" t="s">
        <v>47</v>
      </c>
      <c r="G12" s="4" t="s">
        <v>48</v>
      </c>
    </row>
    <row r="13" customFormat="false" ht="18" hidden="false" customHeight="true" outlineLevel="0" collapsed="false">
      <c r="A13" s="10" t="n">
        <v>4</v>
      </c>
      <c r="B13" s="4" t="s">
        <v>49</v>
      </c>
      <c r="C13" s="12" t="s">
        <v>50</v>
      </c>
      <c r="D13" s="4" t="s">
        <v>51</v>
      </c>
      <c r="E13" s="4" t="str">
        <f aca="false">"Within "&amp;$C$5&amp;IF($C$5=1," hour"," hours")</f>
        <v>Within 1 hour</v>
      </c>
      <c r="F13" s="4" t="s">
        <v>52</v>
      </c>
      <c r="G13" s="4" t="s">
        <v>53</v>
      </c>
    </row>
    <row r="14" customFormat="false" ht="31.5" hidden="false" customHeight="true" outlineLevel="0" collapsed="false">
      <c r="A14" s="10" t="n">
        <v>5</v>
      </c>
      <c r="B14" s="4" t="s">
        <v>54</v>
      </c>
      <c r="C14" s="12" t="s">
        <v>50</v>
      </c>
      <c r="D14" s="4" t="s">
        <v>51</v>
      </c>
      <c r="E14" s="4" t="str">
        <f aca="false">"Within "&amp;$C$6&amp;IF($C$6=1," business hour"," business hours")</f>
        <v>Within 4 business hours</v>
      </c>
      <c r="F14" s="4" t="s">
        <v>55</v>
      </c>
      <c r="G14" s="4"/>
    </row>
    <row r="15" customFormat="false" ht="31.5" hidden="false" customHeight="true" outlineLevel="0" collapsed="false">
      <c r="A15" s="10" t="n">
        <v>6</v>
      </c>
      <c r="B15" s="4" t="s">
        <v>56</v>
      </c>
      <c r="C15" s="12" t="s">
        <v>50</v>
      </c>
      <c r="D15" s="4" t="s">
        <v>51</v>
      </c>
      <c r="E15" s="4" t="str">
        <f aca="false">"Within "&amp;$C$6&amp;IF($C$6=1," business hour"," business hours")</f>
        <v>Within 4 business hours</v>
      </c>
      <c r="F15" s="4" t="s">
        <v>52</v>
      </c>
      <c r="G15" s="4" t="s">
        <v>57</v>
      </c>
    </row>
    <row r="16" customFormat="false" ht="31.5" hidden="false" customHeight="true" outlineLevel="0" collapsed="false">
      <c r="A16" s="10" t="n">
        <v>7</v>
      </c>
      <c r="B16" s="4" t="s">
        <v>58</v>
      </c>
      <c r="C16" s="13" t="s">
        <v>59</v>
      </c>
      <c r="D16" s="4" t="s">
        <v>60</v>
      </c>
      <c r="E16" s="4" t="str">
        <f aca="false">"Within "&amp;$C$7&amp;IF($C$7=1," business day"," business days")</f>
        <v>Within 1 business day</v>
      </c>
      <c r="F16" s="4" t="s">
        <v>61</v>
      </c>
      <c r="G16" s="4" t="s">
        <v>62</v>
      </c>
    </row>
    <row r="17" customFormat="false" ht="31.5" hidden="false" customHeight="true" outlineLevel="0" collapsed="false">
      <c r="A17" s="10" t="n">
        <v>8</v>
      </c>
      <c r="B17" s="4" t="s">
        <v>63</v>
      </c>
      <c r="C17" s="12" t="s">
        <v>50</v>
      </c>
      <c r="D17" s="4" t="s">
        <v>51</v>
      </c>
      <c r="E17" s="4" t="str">
        <f aca="false">"Within "&amp;$C$6&amp;IF($C$6=1," business hour"," business hours")</f>
        <v>Within 4 business hours</v>
      </c>
      <c r="F17" s="4" t="s">
        <v>52</v>
      </c>
      <c r="G17" s="4" t="s">
        <v>64</v>
      </c>
    </row>
    <row r="18" customFormat="false" ht="18" hidden="false" customHeight="true" outlineLevel="0" collapsed="false">
      <c r="A18" s="10" t="n">
        <v>9</v>
      </c>
      <c r="B18" s="4" t="s">
        <v>65</v>
      </c>
      <c r="C18" s="12" t="s">
        <v>50</v>
      </c>
      <c r="D18" s="4" t="s">
        <v>51</v>
      </c>
      <c r="E18" s="4" t="str">
        <f aca="false">"Within "&amp;$C$6&amp;IF($C$6=1," business hour"," business hours")</f>
        <v>Within 4 business hours</v>
      </c>
      <c r="F18" s="4" t="s">
        <v>52</v>
      </c>
      <c r="G18" s="4" t="s">
        <v>66</v>
      </c>
    </row>
    <row r="20" customFormat="false" ht="15" hidden="false" customHeight="false" outlineLevel="0" collapsed="false">
      <c r="B20" s="14" t="s">
        <v>67</v>
      </c>
    </row>
    <row r="21" customFormat="false" ht="15" hidden="false" customHeight="false" outlineLevel="0" collapsed="false">
      <c r="B21" s="14" t="s">
        <v>68</v>
      </c>
    </row>
    <row r="22" customFormat="false" ht="15" hidden="false" customHeight="false" outlineLevel="0" collapsed="false">
      <c r="B22" s="1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3" customFormat="false" ht="15" hidden="false" customHeight="false" outlineLevel="0" collapsed="false">
      <c r="A3" s="3" t="s">
        <v>72</v>
      </c>
      <c r="B3" s="7" t="n">
        <v>20</v>
      </c>
      <c r="C3" s="8" t="s">
        <v>73</v>
      </c>
    </row>
    <row r="4" customFormat="false" ht="15" hidden="false" customHeight="false" outlineLevel="0" collapsed="false">
      <c r="A4" s="3" t="s">
        <v>74</v>
      </c>
      <c r="B4" s="10" t="n">
        <f aca="false">COUNTIF(H7:H56,"Warm qualified - hand to human")</f>
        <v>1</v>
      </c>
      <c r="D4" s="3" t="s">
        <v>75</v>
      </c>
      <c r="E4" s="10" t="n">
        <f aca="false">COUNTIF(H7:H56,"Nurture - fails fit or role")</f>
        <v>0</v>
      </c>
    </row>
    <row r="6" customFormat="false" ht="31.5" hidden="false" customHeight="true" outlineLevel="0" collapsed="false">
      <c r="A6" s="9" t="s">
        <v>76</v>
      </c>
      <c r="B6" s="9" t="s">
        <v>77</v>
      </c>
      <c r="C6" s="9" t="s">
        <v>78</v>
      </c>
      <c r="D6" s="9" t="s">
        <v>79</v>
      </c>
      <c r="E6" s="9" t="s">
        <v>80</v>
      </c>
      <c r="F6" s="9" t="s">
        <v>81</v>
      </c>
      <c r="G6" s="9" t="s">
        <v>82</v>
      </c>
      <c r="H6" s="9" t="s">
        <v>83</v>
      </c>
      <c r="I6" s="9" t="s">
        <v>84</v>
      </c>
    </row>
    <row r="7" customFormat="false" ht="15" hidden="false" customHeight="false" outlineLevel="0" collapsed="false">
      <c r="A7" s="15" t="s">
        <v>85</v>
      </c>
      <c r="B7" s="16" t="s">
        <v>86</v>
      </c>
      <c r="C7" s="16" t="s">
        <v>87</v>
      </c>
      <c r="D7" s="16" t="s">
        <v>87</v>
      </c>
      <c r="E7" s="16" t="n">
        <v>45</v>
      </c>
      <c r="F7" s="16" t="s">
        <v>87</v>
      </c>
      <c r="G7" s="16" t="s">
        <v>87</v>
      </c>
      <c r="H7" s="17" t="str">
        <f aca="false">IF(A7="","",IF(AND(C7="Yes",D7="Yes",E7&gt;=$B$3,F7="Yes",G7="Yes"),"Warm qualified - hand to human",IF(G7="Yes","Nurture - fails fit or role","No action")))</f>
        <v>Warm qualified - hand to human</v>
      </c>
      <c r="I7" s="4" t="str">
        <f aca="false">IF(A7="","",IF(H7="Warm qualified - hand to human","All three tests met",IF(H7="No action","No intent signal yet",TRIM(IF(C7&lt;&gt;"Yes","Segment not a fit. ","")&amp;IF(D7&lt;&gt;"Yes","Country not permitted. ","")&amp;IF(E7&lt;$B$3,"Team below minimum. ","")&amp;IF(F7&lt;&gt;"Yes","Role not a target. ","")))))</f>
        <v>All three tests met</v>
      </c>
    </row>
    <row r="8" customFormat="false" ht="15" hidden="false" customHeight="false" outlineLevel="0" collapsed="false">
      <c r="A8" s="15"/>
      <c r="B8" s="16"/>
      <c r="C8" s="16"/>
      <c r="D8" s="16"/>
      <c r="E8" s="16"/>
      <c r="F8" s="16"/>
      <c r="G8" s="16"/>
      <c r="H8" s="17" t="str">
        <f aca="false">IF(A8="","",IF(AND(C8="Yes",D8="Yes",E8&gt;=$B$3,F8="Yes",G8="Yes"),"Warm qualified - hand to human",IF(G8="Yes","Nurture - fails fit or role","No action")))</f>
        <v/>
      </c>
      <c r="I8" s="4" t="str">
        <f aca="false">IF(A8="","",IF(H8="Warm qualified - hand to human","All three tests met",IF(H8="No action","No intent signal yet",TRIM(IF(C8&lt;&gt;"Yes","Segment not a fit. ","")&amp;IF(D8&lt;&gt;"Yes","Country not permitted. ","")&amp;IF(E8&lt;$B$3,"Team below minimum. ","")&amp;IF(F8&lt;&gt;"Yes","Role not a target. ","")))))</f>
        <v/>
      </c>
    </row>
    <row r="9" customFormat="false" ht="15" hidden="false" customHeight="false" outlineLevel="0" collapsed="false">
      <c r="A9" s="15"/>
      <c r="B9" s="16"/>
      <c r="C9" s="16"/>
      <c r="D9" s="16"/>
      <c r="E9" s="16"/>
      <c r="F9" s="16"/>
      <c r="G9" s="16"/>
      <c r="H9" s="17" t="str">
        <f aca="false">IF(A9="","",IF(AND(C9="Yes",D9="Yes",E9&gt;=$B$3,F9="Yes",G9="Yes"),"Warm qualified - hand to human",IF(G9="Yes","Nurture - fails fit or role","No action")))</f>
        <v/>
      </c>
      <c r="I9" s="4" t="str">
        <f aca="false">IF(A9="","",IF(H9="Warm qualified - hand to human","All three tests met",IF(H9="No action","No intent signal yet",TRIM(IF(C9&lt;&gt;"Yes","Segment not a fit. ","")&amp;IF(D9&lt;&gt;"Yes","Country not permitted. ","")&amp;IF(E9&lt;$B$3,"Team below minimum. ","")&amp;IF(F9&lt;&gt;"Yes","Role not a target. ","")))))</f>
        <v/>
      </c>
    </row>
    <row r="10" customFormat="false" ht="15" hidden="false" customHeight="false" outlineLevel="0" collapsed="false">
      <c r="A10" s="15"/>
      <c r="B10" s="16"/>
      <c r="C10" s="16"/>
      <c r="D10" s="16"/>
      <c r="E10" s="16"/>
      <c r="F10" s="16"/>
      <c r="G10" s="16"/>
      <c r="H10" s="17" t="str">
        <f aca="false">IF(A10="","",IF(AND(C10="Yes",D10="Yes",E10&gt;=$B$3,F10="Yes",G10="Yes"),"Warm qualified - hand to human",IF(G10="Yes","Nurture - fails fit or role","No action")))</f>
        <v/>
      </c>
      <c r="I10" s="4" t="str">
        <f aca="false">IF(A10="","",IF(H10="Warm qualified - hand to human","All three tests met",IF(H10="No action","No intent signal yet",TRIM(IF(C10&lt;&gt;"Yes","Segment not a fit. ","")&amp;IF(D10&lt;&gt;"Yes","Country not permitted. ","")&amp;IF(E10&lt;$B$3,"Team below minimum. ","")&amp;IF(F10&lt;&gt;"Yes","Role not a target. ","")))))</f>
        <v/>
      </c>
    </row>
    <row r="11" customFormat="false" ht="15" hidden="false" customHeight="false" outlineLevel="0" collapsed="false">
      <c r="A11" s="15"/>
      <c r="B11" s="16"/>
      <c r="C11" s="16"/>
      <c r="D11" s="16"/>
      <c r="E11" s="16"/>
      <c r="F11" s="16"/>
      <c r="G11" s="16"/>
      <c r="H11" s="17" t="str">
        <f aca="false">IF(A11="","",IF(AND(C11="Yes",D11="Yes",E11&gt;=$B$3,F11="Yes",G11="Yes"),"Warm qualified - hand to human",IF(G11="Yes","Nurture - fails fit or role","No action")))</f>
        <v/>
      </c>
      <c r="I11" s="4" t="str">
        <f aca="false">IF(A11="","",IF(H11="Warm qualified - hand to human","All three tests met",IF(H11="No action","No intent signal yet",TRIM(IF(C11&lt;&gt;"Yes","Segment not a fit. ","")&amp;IF(D11&lt;&gt;"Yes","Country not permitted. ","")&amp;IF(E11&lt;$B$3,"Team below minimum. ","")&amp;IF(F11&lt;&gt;"Yes","Role not a target. ","")))))</f>
        <v/>
      </c>
    </row>
    <row r="12" customFormat="false" ht="15" hidden="false" customHeight="false" outlineLevel="0" collapsed="false">
      <c r="A12" s="15"/>
      <c r="B12" s="16"/>
      <c r="C12" s="16"/>
      <c r="D12" s="16"/>
      <c r="E12" s="16"/>
      <c r="F12" s="16"/>
      <c r="G12" s="16"/>
      <c r="H12" s="17" t="str">
        <f aca="false">IF(A12="","",IF(AND(C12="Yes",D12="Yes",E12&gt;=$B$3,F12="Yes",G12="Yes"),"Warm qualified - hand to human",IF(G12="Yes","Nurture - fails fit or role","No action")))</f>
        <v/>
      </c>
      <c r="I12" s="4" t="str">
        <f aca="false">IF(A12="","",IF(H12="Warm qualified - hand to human","All three tests met",IF(H12="No action","No intent signal yet",TRIM(IF(C12&lt;&gt;"Yes","Segment not a fit. ","")&amp;IF(D12&lt;&gt;"Yes","Country not permitted. ","")&amp;IF(E12&lt;$B$3,"Team below minimum. ","")&amp;IF(F12&lt;&gt;"Yes","Role not a target. ","")))))</f>
        <v/>
      </c>
    </row>
    <row r="13" customFormat="false" ht="15" hidden="false" customHeight="false" outlineLevel="0" collapsed="false">
      <c r="A13" s="15"/>
      <c r="B13" s="16"/>
      <c r="C13" s="16"/>
      <c r="D13" s="16"/>
      <c r="E13" s="16"/>
      <c r="F13" s="16"/>
      <c r="G13" s="16"/>
      <c r="H13" s="17" t="str">
        <f aca="false">IF(A13="","",IF(AND(C13="Yes",D13="Yes",E13&gt;=$B$3,F13="Yes",G13="Yes"),"Warm qualified - hand to human",IF(G13="Yes","Nurture - fails fit or role","No action")))</f>
        <v/>
      </c>
      <c r="I13" s="4" t="str">
        <f aca="false">IF(A13="","",IF(H13="Warm qualified - hand to human","All three tests met",IF(H13="No action","No intent signal yet",TRIM(IF(C13&lt;&gt;"Yes","Segment not a fit. ","")&amp;IF(D13&lt;&gt;"Yes","Country not permitted. ","")&amp;IF(E13&lt;$B$3,"Team below minimum. ","")&amp;IF(F13&lt;&gt;"Yes","Role not a target. ","")))))</f>
        <v/>
      </c>
    </row>
    <row r="14" customFormat="false" ht="15" hidden="false" customHeight="false" outlineLevel="0" collapsed="false">
      <c r="A14" s="15"/>
      <c r="B14" s="16"/>
      <c r="C14" s="16"/>
      <c r="D14" s="16"/>
      <c r="E14" s="16"/>
      <c r="F14" s="16"/>
      <c r="G14" s="16"/>
      <c r="H14" s="17" t="str">
        <f aca="false">IF(A14="","",IF(AND(C14="Yes",D14="Yes",E14&gt;=$B$3,F14="Yes",G14="Yes"),"Warm qualified - hand to human",IF(G14="Yes","Nurture - fails fit or role","No action")))</f>
        <v/>
      </c>
      <c r="I14" s="4" t="str">
        <f aca="false">IF(A14="","",IF(H14="Warm qualified - hand to human","All three tests met",IF(H14="No action","No intent signal yet",TRIM(IF(C14&lt;&gt;"Yes","Segment not a fit. ","")&amp;IF(D14&lt;&gt;"Yes","Country not permitted. ","")&amp;IF(E14&lt;$B$3,"Team below minimum. ","")&amp;IF(F14&lt;&gt;"Yes","Role not a target. ","")))))</f>
        <v/>
      </c>
    </row>
    <row r="15" customFormat="false" ht="15" hidden="false" customHeight="false" outlineLevel="0" collapsed="false">
      <c r="A15" s="15"/>
      <c r="B15" s="16"/>
      <c r="C15" s="16"/>
      <c r="D15" s="16"/>
      <c r="E15" s="16"/>
      <c r="F15" s="16"/>
      <c r="G15" s="16"/>
      <c r="H15" s="17" t="str">
        <f aca="false">IF(A15="","",IF(AND(C15="Yes",D15="Yes",E15&gt;=$B$3,F15="Yes",G15="Yes"),"Warm qualified - hand to human",IF(G15="Yes","Nurture - fails fit or role","No action")))</f>
        <v/>
      </c>
      <c r="I15" s="4" t="str">
        <f aca="false">IF(A15="","",IF(H15="Warm qualified - hand to human","All three tests met",IF(H15="No action","No intent signal yet",TRIM(IF(C15&lt;&gt;"Yes","Segment not a fit. ","")&amp;IF(D15&lt;&gt;"Yes","Country not permitted. ","")&amp;IF(E15&lt;$B$3,"Team below minimum. ","")&amp;IF(F15&lt;&gt;"Yes","Role not a target. ","")))))</f>
        <v/>
      </c>
    </row>
    <row r="16" customFormat="false" ht="15" hidden="false" customHeight="false" outlineLevel="0" collapsed="false">
      <c r="A16" s="15"/>
      <c r="B16" s="16"/>
      <c r="C16" s="16"/>
      <c r="D16" s="16"/>
      <c r="E16" s="16"/>
      <c r="F16" s="16"/>
      <c r="G16" s="16"/>
      <c r="H16" s="17" t="str">
        <f aca="false">IF(A16="","",IF(AND(C16="Yes",D16="Yes",E16&gt;=$B$3,F16="Yes",G16="Yes"),"Warm qualified - hand to human",IF(G16="Yes","Nurture - fails fit or role","No action")))</f>
        <v/>
      </c>
      <c r="I16" s="4" t="str">
        <f aca="false">IF(A16="","",IF(H16="Warm qualified - hand to human","All three tests met",IF(H16="No action","No intent signal yet",TRIM(IF(C16&lt;&gt;"Yes","Segment not a fit. ","")&amp;IF(D16&lt;&gt;"Yes","Country not permitted. ","")&amp;IF(E16&lt;$B$3,"Team below minimum. ","")&amp;IF(F16&lt;&gt;"Yes","Role not a target. ","")))))</f>
        <v/>
      </c>
    </row>
    <row r="17" customFormat="false" ht="15" hidden="false" customHeight="false" outlineLevel="0" collapsed="false">
      <c r="A17" s="15"/>
      <c r="B17" s="16"/>
      <c r="C17" s="16"/>
      <c r="D17" s="16"/>
      <c r="E17" s="16"/>
      <c r="F17" s="16"/>
      <c r="G17" s="16"/>
      <c r="H17" s="17" t="str">
        <f aca="false">IF(A17="","",IF(AND(C17="Yes",D17="Yes",E17&gt;=$B$3,F17="Yes",G17="Yes"),"Warm qualified - hand to human",IF(G17="Yes","Nurture - fails fit or role","No action")))</f>
        <v/>
      </c>
      <c r="I17" s="4" t="str">
        <f aca="false">IF(A17="","",IF(H17="Warm qualified - hand to human","All three tests met",IF(H17="No action","No intent signal yet",TRIM(IF(C17&lt;&gt;"Yes","Segment not a fit. ","")&amp;IF(D17&lt;&gt;"Yes","Country not permitted. ","")&amp;IF(E17&lt;$B$3,"Team below minimum. ","")&amp;IF(F17&lt;&gt;"Yes","Role not a target. ","")))))</f>
        <v/>
      </c>
    </row>
    <row r="18" customFormat="false" ht="15" hidden="false" customHeight="false" outlineLevel="0" collapsed="false">
      <c r="A18" s="15"/>
      <c r="B18" s="16"/>
      <c r="C18" s="16"/>
      <c r="D18" s="16"/>
      <c r="E18" s="16"/>
      <c r="F18" s="16"/>
      <c r="G18" s="16"/>
      <c r="H18" s="17" t="str">
        <f aca="false">IF(A18="","",IF(AND(C18="Yes",D18="Yes",E18&gt;=$B$3,F18="Yes",G18="Yes"),"Warm qualified - hand to human",IF(G18="Yes","Nurture - fails fit or role","No action")))</f>
        <v/>
      </c>
      <c r="I18" s="4" t="str">
        <f aca="false">IF(A18="","",IF(H18="Warm qualified - hand to human","All three tests met",IF(H18="No action","No intent signal yet",TRIM(IF(C18&lt;&gt;"Yes","Segment not a fit. ","")&amp;IF(D18&lt;&gt;"Yes","Country not permitted. ","")&amp;IF(E18&lt;$B$3,"Team below minimum. ","")&amp;IF(F18&lt;&gt;"Yes","Role not a target. ","")))))</f>
        <v/>
      </c>
    </row>
    <row r="19" customFormat="false" ht="15" hidden="false" customHeight="false" outlineLevel="0" collapsed="false">
      <c r="A19" s="15"/>
      <c r="B19" s="16"/>
      <c r="C19" s="16"/>
      <c r="D19" s="16"/>
      <c r="E19" s="16"/>
      <c r="F19" s="16"/>
      <c r="G19" s="16"/>
      <c r="H19" s="17" t="str">
        <f aca="false">IF(A19="","",IF(AND(C19="Yes",D19="Yes",E19&gt;=$B$3,F19="Yes",G19="Yes"),"Warm qualified - hand to human",IF(G19="Yes","Nurture - fails fit or role","No action")))</f>
        <v/>
      </c>
      <c r="I19" s="4" t="str">
        <f aca="false">IF(A19="","",IF(H19="Warm qualified - hand to human","All three tests met",IF(H19="No action","No intent signal yet",TRIM(IF(C19&lt;&gt;"Yes","Segment not a fit. ","")&amp;IF(D19&lt;&gt;"Yes","Country not permitted. ","")&amp;IF(E19&lt;$B$3,"Team below minimum. ","")&amp;IF(F19&lt;&gt;"Yes","Role not a target. ","")))))</f>
        <v/>
      </c>
    </row>
    <row r="20" customFormat="false" ht="15" hidden="false" customHeight="false" outlineLevel="0" collapsed="false">
      <c r="A20" s="15"/>
      <c r="B20" s="16"/>
      <c r="C20" s="16"/>
      <c r="D20" s="16"/>
      <c r="E20" s="16"/>
      <c r="F20" s="16"/>
      <c r="G20" s="16"/>
      <c r="H20" s="17" t="str">
        <f aca="false">IF(A20="","",IF(AND(C20="Yes",D20="Yes",E20&gt;=$B$3,F20="Yes",G20="Yes"),"Warm qualified - hand to human",IF(G20="Yes","Nurture - fails fit or role","No action")))</f>
        <v/>
      </c>
      <c r="I20" s="4" t="str">
        <f aca="false">IF(A20="","",IF(H20="Warm qualified - hand to human","All three tests met",IF(H20="No action","No intent signal yet",TRIM(IF(C20&lt;&gt;"Yes","Segment not a fit. ","")&amp;IF(D20&lt;&gt;"Yes","Country not permitted. ","")&amp;IF(E20&lt;$B$3,"Team below minimum. ","")&amp;IF(F20&lt;&gt;"Yes","Role not a target. ","")))))</f>
        <v/>
      </c>
    </row>
    <row r="21" customFormat="false" ht="15" hidden="false" customHeight="false" outlineLevel="0" collapsed="false">
      <c r="A21" s="15"/>
      <c r="B21" s="16"/>
      <c r="C21" s="16"/>
      <c r="D21" s="16"/>
      <c r="E21" s="16"/>
      <c r="F21" s="16"/>
      <c r="G21" s="16"/>
      <c r="H21" s="17" t="str">
        <f aca="false">IF(A21="","",IF(AND(C21="Yes",D21="Yes",E21&gt;=$B$3,F21="Yes",G21="Yes"),"Warm qualified - hand to human",IF(G21="Yes","Nurture - fails fit or role","No action")))</f>
        <v/>
      </c>
      <c r="I21" s="4" t="str">
        <f aca="false">IF(A21="","",IF(H21="Warm qualified - hand to human","All three tests met",IF(H21="No action","No intent signal yet",TRIM(IF(C21&lt;&gt;"Yes","Segment not a fit. ","")&amp;IF(D21&lt;&gt;"Yes","Country not permitted. ","")&amp;IF(E21&lt;$B$3,"Team below minimum. ","")&amp;IF(F21&lt;&gt;"Yes","Role not a target. ","")))))</f>
        <v/>
      </c>
    </row>
    <row r="22" customFormat="false" ht="15" hidden="false" customHeight="false" outlineLevel="0" collapsed="false">
      <c r="A22" s="15"/>
      <c r="B22" s="16"/>
      <c r="C22" s="16"/>
      <c r="D22" s="16"/>
      <c r="E22" s="16"/>
      <c r="F22" s="16"/>
      <c r="G22" s="16"/>
      <c r="H22" s="17" t="str">
        <f aca="false">IF(A22="","",IF(AND(C22="Yes",D22="Yes",E22&gt;=$B$3,F22="Yes",G22="Yes"),"Warm qualified - hand to human",IF(G22="Yes","Nurture - fails fit or role","No action")))</f>
        <v/>
      </c>
      <c r="I22" s="4" t="str">
        <f aca="false">IF(A22="","",IF(H22="Warm qualified - hand to human","All three tests met",IF(H22="No action","No intent signal yet",TRIM(IF(C22&lt;&gt;"Yes","Segment not a fit. ","")&amp;IF(D22&lt;&gt;"Yes","Country not permitted. ","")&amp;IF(E22&lt;$B$3,"Team below minimum. ","")&amp;IF(F22&lt;&gt;"Yes","Role not a target. ","")))))</f>
        <v/>
      </c>
    </row>
    <row r="23" customFormat="false" ht="15" hidden="false" customHeight="false" outlineLevel="0" collapsed="false">
      <c r="A23" s="15"/>
      <c r="B23" s="16"/>
      <c r="C23" s="16"/>
      <c r="D23" s="16"/>
      <c r="E23" s="16"/>
      <c r="F23" s="16"/>
      <c r="G23" s="16"/>
      <c r="H23" s="17" t="str">
        <f aca="false">IF(A23="","",IF(AND(C23="Yes",D23="Yes",E23&gt;=$B$3,F23="Yes",G23="Yes"),"Warm qualified - hand to human",IF(G23="Yes","Nurture - fails fit or role","No action")))</f>
        <v/>
      </c>
      <c r="I23" s="4" t="str">
        <f aca="false">IF(A23="","",IF(H23="Warm qualified - hand to human","All three tests met",IF(H23="No action","No intent signal yet",TRIM(IF(C23&lt;&gt;"Yes","Segment not a fit. ","")&amp;IF(D23&lt;&gt;"Yes","Country not permitted. ","")&amp;IF(E23&lt;$B$3,"Team below minimum. ","")&amp;IF(F23&lt;&gt;"Yes","Role not a target. ","")))))</f>
        <v/>
      </c>
    </row>
    <row r="24" customFormat="false" ht="15" hidden="false" customHeight="false" outlineLevel="0" collapsed="false">
      <c r="A24" s="15"/>
      <c r="B24" s="16"/>
      <c r="C24" s="16"/>
      <c r="D24" s="16"/>
      <c r="E24" s="16"/>
      <c r="F24" s="16"/>
      <c r="G24" s="16"/>
      <c r="H24" s="17" t="str">
        <f aca="false">IF(A24="","",IF(AND(C24="Yes",D24="Yes",E24&gt;=$B$3,F24="Yes",G24="Yes"),"Warm qualified - hand to human",IF(G24="Yes","Nurture - fails fit or role","No action")))</f>
        <v/>
      </c>
      <c r="I24" s="4" t="str">
        <f aca="false">IF(A24="","",IF(H24="Warm qualified - hand to human","All three tests met",IF(H24="No action","No intent signal yet",TRIM(IF(C24&lt;&gt;"Yes","Segment not a fit. ","")&amp;IF(D24&lt;&gt;"Yes","Country not permitted. ","")&amp;IF(E24&lt;$B$3,"Team below minimum. ","")&amp;IF(F24&lt;&gt;"Yes","Role not a target. ","")))))</f>
        <v/>
      </c>
    </row>
    <row r="25" customFormat="false" ht="15" hidden="false" customHeight="false" outlineLevel="0" collapsed="false">
      <c r="A25" s="15"/>
      <c r="B25" s="16"/>
      <c r="C25" s="16"/>
      <c r="D25" s="16"/>
      <c r="E25" s="16"/>
      <c r="F25" s="16"/>
      <c r="G25" s="16"/>
      <c r="H25" s="17" t="str">
        <f aca="false">IF(A25="","",IF(AND(C25="Yes",D25="Yes",E25&gt;=$B$3,F25="Yes",G25="Yes"),"Warm qualified - hand to human",IF(G25="Yes","Nurture - fails fit or role","No action")))</f>
        <v/>
      </c>
      <c r="I25" s="4" t="str">
        <f aca="false">IF(A25="","",IF(H25="Warm qualified - hand to human","All three tests met",IF(H25="No action","No intent signal yet",TRIM(IF(C25&lt;&gt;"Yes","Segment not a fit. ","")&amp;IF(D25&lt;&gt;"Yes","Country not permitted. ","")&amp;IF(E25&lt;$B$3,"Team below minimum. ","")&amp;IF(F25&lt;&gt;"Yes","Role not a target. ","")))))</f>
        <v/>
      </c>
    </row>
    <row r="26" customFormat="false" ht="15" hidden="false" customHeight="false" outlineLevel="0" collapsed="false">
      <c r="A26" s="15"/>
      <c r="B26" s="16"/>
      <c r="C26" s="16"/>
      <c r="D26" s="16"/>
      <c r="E26" s="16"/>
      <c r="F26" s="16"/>
      <c r="G26" s="16"/>
      <c r="H26" s="17" t="str">
        <f aca="false">IF(A26="","",IF(AND(C26="Yes",D26="Yes",E26&gt;=$B$3,F26="Yes",G26="Yes"),"Warm qualified - hand to human",IF(G26="Yes","Nurture - fails fit or role","No action")))</f>
        <v/>
      </c>
      <c r="I26" s="4" t="str">
        <f aca="false">IF(A26="","",IF(H26="Warm qualified - hand to human","All three tests met",IF(H26="No action","No intent signal yet",TRIM(IF(C26&lt;&gt;"Yes","Segment not a fit. ","")&amp;IF(D26&lt;&gt;"Yes","Country not permitted. ","")&amp;IF(E26&lt;$B$3,"Team below minimum. ","")&amp;IF(F26&lt;&gt;"Yes","Role not a target. ","")))))</f>
        <v/>
      </c>
    </row>
    <row r="27" customFormat="false" ht="15" hidden="false" customHeight="false" outlineLevel="0" collapsed="false">
      <c r="A27" s="15"/>
      <c r="B27" s="16"/>
      <c r="C27" s="16"/>
      <c r="D27" s="16"/>
      <c r="E27" s="16"/>
      <c r="F27" s="16"/>
      <c r="G27" s="16"/>
      <c r="H27" s="17" t="str">
        <f aca="false">IF(A27="","",IF(AND(C27="Yes",D27="Yes",E27&gt;=$B$3,F27="Yes",G27="Yes"),"Warm qualified - hand to human",IF(G27="Yes","Nurture - fails fit or role","No action")))</f>
        <v/>
      </c>
      <c r="I27" s="4" t="str">
        <f aca="false">IF(A27="","",IF(H27="Warm qualified - hand to human","All three tests met",IF(H27="No action","No intent signal yet",TRIM(IF(C27&lt;&gt;"Yes","Segment not a fit. ","")&amp;IF(D27&lt;&gt;"Yes","Country not permitted. ","")&amp;IF(E27&lt;$B$3,"Team below minimum. ","")&amp;IF(F27&lt;&gt;"Yes","Role not a target. ","")))))</f>
        <v/>
      </c>
    </row>
    <row r="28" customFormat="false" ht="15" hidden="false" customHeight="false" outlineLevel="0" collapsed="false">
      <c r="A28" s="15"/>
      <c r="B28" s="16"/>
      <c r="C28" s="16"/>
      <c r="D28" s="16"/>
      <c r="E28" s="16"/>
      <c r="F28" s="16"/>
      <c r="G28" s="16"/>
      <c r="H28" s="17" t="str">
        <f aca="false">IF(A28="","",IF(AND(C28="Yes",D28="Yes",E28&gt;=$B$3,F28="Yes",G28="Yes"),"Warm qualified - hand to human",IF(G28="Yes","Nurture - fails fit or role","No action")))</f>
        <v/>
      </c>
      <c r="I28" s="4" t="str">
        <f aca="false">IF(A28="","",IF(H28="Warm qualified - hand to human","All three tests met",IF(H28="No action","No intent signal yet",TRIM(IF(C28&lt;&gt;"Yes","Segment not a fit. ","")&amp;IF(D28&lt;&gt;"Yes","Country not permitted. ","")&amp;IF(E28&lt;$B$3,"Team below minimum. ","")&amp;IF(F28&lt;&gt;"Yes","Role not a target. ","")))))</f>
        <v/>
      </c>
    </row>
    <row r="29" customFormat="false" ht="15" hidden="false" customHeight="false" outlineLevel="0" collapsed="false">
      <c r="A29" s="15"/>
      <c r="B29" s="16"/>
      <c r="C29" s="16"/>
      <c r="D29" s="16"/>
      <c r="E29" s="16"/>
      <c r="F29" s="16"/>
      <c r="G29" s="16"/>
      <c r="H29" s="17" t="str">
        <f aca="false">IF(A29="","",IF(AND(C29="Yes",D29="Yes",E29&gt;=$B$3,F29="Yes",G29="Yes"),"Warm qualified - hand to human",IF(G29="Yes","Nurture - fails fit or role","No action")))</f>
        <v/>
      </c>
      <c r="I29" s="4" t="str">
        <f aca="false">IF(A29="","",IF(H29="Warm qualified - hand to human","All three tests met",IF(H29="No action","No intent signal yet",TRIM(IF(C29&lt;&gt;"Yes","Segment not a fit. ","")&amp;IF(D29&lt;&gt;"Yes","Country not permitted. ","")&amp;IF(E29&lt;$B$3,"Team below minimum. ","")&amp;IF(F29&lt;&gt;"Yes","Role not a target. ","")))))</f>
        <v/>
      </c>
    </row>
    <row r="30" customFormat="false" ht="15" hidden="false" customHeight="false" outlineLevel="0" collapsed="false">
      <c r="A30" s="15"/>
      <c r="B30" s="16"/>
      <c r="C30" s="16"/>
      <c r="D30" s="16"/>
      <c r="E30" s="16"/>
      <c r="F30" s="16"/>
      <c r="G30" s="16"/>
      <c r="H30" s="17" t="str">
        <f aca="false">IF(A30="","",IF(AND(C30="Yes",D30="Yes",E30&gt;=$B$3,F30="Yes",G30="Yes"),"Warm qualified - hand to human",IF(G30="Yes","Nurture - fails fit or role","No action")))</f>
        <v/>
      </c>
      <c r="I30" s="4" t="str">
        <f aca="false">IF(A30="","",IF(H30="Warm qualified - hand to human","All three tests met",IF(H30="No action","No intent signal yet",TRIM(IF(C30&lt;&gt;"Yes","Segment not a fit. ","")&amp;IF(D30&lt;&gt;"Yes","Country not permitted. ","")&amp;IF(E30&lt;$B$3,"Team below minimum. ","")&amp;IF(F30&lt;&gt;"Yes","Role not a target. ","")))))</f>
        <v/>
      </c>
    </row>
    <row r="31" customFormat="false" ht="15" hidden="false" customHeight="false" outlineLevel="0" collapsed="false">
      <c r="A31" s="15"/>
      <c r="B31" s="16"/>
      <c r="C31" s="16"/>
      <c r="D31" s="16"/>
      <c r="E31" s="16"/>
      <c r="F31" s="16"/>
      <c r="G31" s="16"/>
      <c r="H31" s="17" t="str">
        <f aca="false">IF(A31="","",IF(AND(C31="Yes",D31="Yes",E31&gt;=$B$3,F31="Yes",G31="Yes"),"Warm qualified - hand to human",IF(G31="Yes","Nurture - fails fit or role","No action")))</f>
        <v/>
      </c>
      <c r="I31" s="4" t="str">
        <f aca="false">IF(A31="","",IF(H31="Warm qualified - hand to human","All three tests met",IF(H31="No action","No intent signal yet",TRIM(IF(C31&lt;&gt;"Yes","Segment not a fit. ","")&amp;IF(D31&lt;&gt;"Yes","Country not permitted. ","")&amp;IF(E31&lt;$B$3,"Team below minimum. ","")&amp;IF(F31&lt;&gt;"Yes","Role not a target. ","")))))</f>
        <v/>
      </c>
    </row>
    <row r="32" customFormat="false" ht="15" hidden="false" customHeight="false" outlineLevel="0" collapsed="false">
      <c r="A32" s="15"/>
      <c r="B32" s="16"/>
      <c r="C32" s="16"/>
      <c r="D32" s="16"/>
      <c r="E32" s="16"/>
      <c r="F32" s="16"/>
      <c r="G32" s="16"/>
      <c r="H32" s="17" t="str">
        <f aca="false">IF(A32="","",IF(AND(C32="Yes",D32="Yes",E32&gt;=$B$3,F32="Yes",G32="Yes"),"Warm qualified - hand to human",IF(G32="Yes","Nurture - fails fit or role","No action")))</f>
        <v/>
      </c>
      <c r="I32" s="4" t="str">
        <f aca="false">IF(A32="","",IF(H32="Warm qualified - hand to human","All three tests met",IF(H32="No action","No intent signal yet",TRIM(IF(C32&lt;&gt;"Yes","Segment not a fit. ","")&amp;IF(D32&lt;&gt;"Yes","Country not permitted. ","")&amp;IF(E32&lt;$B$3,"Team below minimum. ","")&amp;IF(F32&lt;&gt;"Yes","Role not a target. ","")))))</f>
        <v/>
      </c>
    </row>
    <row r="33" customFormat="false" ht="15" hidden="false" customHeight="false" outlineLevel="0" collapsed="false">
      <c r="A33" s="15"/>
      <c r="B33" s="16"/>
      <c r="C33" s="16"/>
      <c r="D33" s="16"/>
      <c r="E33" s="16"/>
      <c r="F33" s="16"/>
      <c r="G33" s="16"/>
      <c r="H33" s="17" t="str">
        <f aca="false">IF(A33="","",IF(AND(C33="Yes",D33="Yes",E33&gt;=$B$3,F33="Yes",G33="Yes"),"Warm qualified - hand to human",IF(G33="Yes","Nurture - fails fit or role","No action")))</f>
        <v/>
      </c>
      <c r="I33" s="4" t="str">
        <f aca="false">IF(A33="","",IF(H33="Warm qualified - hand to human","All three tests met",IF(H33="No action","No intent signal yet",TRIM(IF(C33&lt;&gt;"Yes","Segment not a fit. ","")&amp;IF(D33&lt;&gt;"Yes","Country not permitted. ","")&amp;IF(E33&lt;$B$3,"Team below minimum. ","")&amp;IF(F33&lt;&gt;"Yes","Role not a target. ","")))))</f>
        <v/>
      </c>
    </row>
    <row r="34" customFormat="false" ht="15" hidden="false" customHeight="false" outlineLevel="0" collapsed="false">
      <c r="A34" s="15"/>
      <c r="B34" s="16"/>
      <c r="C34" s="16"/>
      <c r="D34" s="16"/>
      <c r="E34" s="16"/>
      <c r="F34" s="16"/>
      <c r="G34" s="16"/>
      <c r="H34" s="17" t="str">
        <f aca="false">IF(A34="","",IF(AND(C34="Yes",D34="Yes",E34&gt;=$B$3,F34="Yes",G34="Yes"),"Warm qualified - hand to human",IF(G34="Yes","Nurture - fails fit or role","No action")))</f>
        <v/>
      </c>
      <c r="I34" s="4" t="str">
        <f aca="false">IF(A34="","",IF(H34="Warm qualified - hand to human","All three tests met",IF(H34="No action","No intent signal yet",TRIM(IF(C34&lt;&gt;"Yes","Segment not a fit. ","")&amp;IF(D34&lt;&gt;"Yes","Country not permitted. ","")&amp;IF(E34&lt;$B$3,"Team below minimum. ","")&amp;IF(F34&lt;&gt;"Yes","Role not a target. ","")))))</f>
        <v/>
      </c>
    </row>
    <row r="35" customFormat="false" ht="15" hidden="false" customHeight="false" outlineLevel="0" collapsed="false">
      <c r="A35" s="15"/>
      <c r="B35" s="16"/>
      <c r="C35" s="16"/>
      <c r="D35" s="16"/>
      <c r="E35" s="16"/>
      <c r="F35" s="16"/>
      <c r="G35" s="16"/>
      <c r="H35" s="17" t="str">
        <f aca="false">IF(A35="","",IF(AND(C35="Yes",D35="Yes",E35&gt;=$B$3,F35="Yes",G35="Yes"),"Warm qualified - hand to human",IF(G35="Yes","Nurture - fails fit or role","No action")))</f>
        <v/>
      </c>
      <c r="I35" s="4" t="str">
        <f aca="false">IF(A35="","",IF(H35="Warm qualified - hand to human","All three tests met",IF(H35="No action","No intent signal yet",TRIM(IF(C35&lt;&gt;"Yes","Segment not a fit. ","")&amp;IF(D35&lt;&gt;"Yes","Country not permitted. ","")&amp;IF(E35&lt;$B$3,"Team below minimum. ","")&amp;IF(F35&lt;&gt;"Yes","Role not a target. ","")))))</f>
        <v/>
      </c>
    </row>
    <row r="36" customFormat="false" ht="15" hidden="false" customHeight="false" outlineLevel="0" collapsed="false">
      <c r="A36" s="15"/>
      <c r="B36" s="16"/>
      <c r="C36" s="16"/>
      <c r="D36" s="16"/>
      <c r="E36" s="16"/>
      <c r="F36" s="16"/>
      <c r="G36" s="16"/>
      <c r="H36" s="17" t="str">
        <f aca="false">IF(A36="","",IF(AND(C36="Yes",D36="Yes",E36&gt;=$B$3,F36="Yes",G36="Yes"),"Warm qualified - hand to human",IF(G36="Yes","Nurture - fails fit or role","No action")))</f>
        <v/>
      </c>
      <c r="I36" s="4" t="str">
        <f aca="false">IF(A36="","",IF(H36="Warm qualified - hand to human","All three tests met",IF(H36="No action","No intent signal yet",TRIM(IF(C36&lt;&gt;"Yes","Segment not a fit. ","")&amp;IF(D36&lt;&gt;"Yes","Country not permitted. ","")&amp;IF(E36&lt;$B$3,"Team below minimum. ","")&amp;IF(F36&lt;&gt;"Yes","Role not a target. ","")))))</f>
        <v/>
      </c>
    </row>
    <row r="37" customFormat="false" ht="15" hidden="false" customHeight="false" outlineLevel="0" collapsed="false">
      <c r="A37" s="15"/>
      <c r="B37" s="16"/>
      <c r="C37" s="16"/>
      <c r="D37" s="16"/>
      <c r="E37" s="16"/>
      <c r="F37" s="16"/>
      <c r="G37" s="16"/>
      <c r="H37" s="17" t="str">
        <f aca="false">IF(A37="","",IF(AND(C37="Yes",D37="Yes",E37&gt;=$B$3,F37="Yes",G37="Yes"),"Warm qualified - hand to human",IF(G37="Yes","Nurture - fails fit or role","No action")))</f>
        <v/>
      </c>
      <c r="I37" s="4" t="str">
        <f aca="false">IF(A37="","",IF(H37="Warm qualified - hand to human","All three tests met",IF(H37="No action","No intent signal yet",TRIM(IF(C37&lt;&gt;"Yes","Segment not a fit. ","")&amp;IF(D37&lt;&gt;"Yes","Country not permitted. ","")&amp;IF(E37&lt;$B$3,"Team below minimum. ","")&amp;IF(F37&lt;&gt;"Yes","Role not a target. ","")))))</f>
        <v/>
      </c>
    </row>
    <row r="38" customFormat="false" ht="15" hidden="false" customHeight="false" outlineLevel="0" collapsed="false">
      <c r="A38" s="15"/>
      <c r="B38" s="16"/>
      <c r="C38" s="16"/>
      <c r="D38" s="16"/>
      <c r="E38" s="16"/>
      <c r="F38" s="16"/>
      <c r="G38" s="16"/>
      <c r="H38" s="17" t="str">
        <f aca="false">IF(A38="","",IF(AND(C38="Yes",D38="Yes",E38&gt;=$B$3,F38="Yes",G38="Yes"),"Warm qualified - hand to human",IF(G38="Yes","Nurture - fails fit or role","No action")))</f>
        <v/>
      </c>
      <c r="I38" s="4" t="str">
        <f aca="false">IF(A38="","",IF(H38="Warm qualified - hand to human","All three tests met",IF(H38="No action","No intent signal yet",TRIM(IF(C38&lt;&gt;"Yes","Segment not a fit. ","")&amp;IF(D38&lt;&gt;"Yes","Country not permitted. ","")&amp;IF(E38&lt;$B$3,"Team below minimum. ","")&amp;IF(F38&lt;&gt;"Yes","Role not a target. ","")))))</f>
        <v/>
      </c>
    </row>
    <row r="39" customFormat="false" ht="15" hidden="false" customHeight="false" outlineLevel="0" collapsed="false">
      <c r="A39" s="15"/>
      <c r="B39" s="16"/>
      <c r="C39" s="16"/>
      <c r="D39" s="16"/>
      <c r="E39" s="16"/>
      <c r="F39" s="16"/>
      <c r="G39" s="16"/>
      <c r="H39" s="17" t="str">
        <f aca="false">IF(A39="","",IF(AND(C39="Yes",D39="Yes",E39&gt;=$B$3,F39="Yes",G39="Yes"),"Warm qualified - hand to human",IF(G39="Yes","Nurture - fails fit or role","No action")))</f>
        <v/>
      </c>
      <c r="I39" s="4" t="str">
        <f aca="false">IF(A39="","",IF(H39="Warm qualified - hand to human","All three tests met",IF(H39="No action","No intent signal yet",TRIM(IF(C39&lt;&gt;"Yes","Segment not a fit. ","")&amp;IF(D39&lt;&gt;"Yes","Country not permitted. ","")&amp;IF(E39&lt;$B$3,"Team below minimum. ","")&amp;IF(F39&lt;&gt;"Yes","Role not a target. ","")))))</f>
        <v/>
      </c>
    </row>
    <row r="40" customFormat="false" ht="15" hidden="false" customHeight="false" outlineLevel="0" collapsed="false">
      <c r="A40" s="15"/>
      <c r="B40" s="16"/>
      <c r="C40" s="16"/>
      <c r="D40" s="16"/>
      <c r="E40" s="16"/>
      <c r="F40" s="16"/>
      <c r="G40" s="16"/>
      <c r="H40" s="17" t="str">
        <f aca="false">IF(A40="","",IF(AND(C40="Yes",D40="Yes",E40&gt;=$B$3,F40="Yes",G40="Yes"),"Warm qualified - hand to human",IF(G40="Yes","Nurture - fails fit or role","No action")))</f>
        <v/>
      </c>
      <c r="I40" s="4" t="str">
        <f aca="false">IF(A40="","",IF(H40="Warm qualified - hand to human","All three tests met",IF(H40="No action","No intent signal yet",TRIM(IF(C40&lt;&gt;"Yes","Segment not a fit. ","")&amp;IF(D40&lt;&gt;"Yes","Country not permitted. ","")&amp;IF(E40&lt;$B$3,"Team below minimum. ","")&amp;IF(F40&lt;&gt;"Yes","Role not a target. ","")))))</f>
        <v/>
      </c>
    </row>
    <row r="41" customFormat="false" ht="15" hidden="false" customHeight="false" outlineLevel="0" collapsed="false">
      <c r="A41" s="15"/>
      <c r="B41" s="16"/>
      <c r="C41" s="16"/>
      <c r="D41" s="16"/>
      <c r="E41" s="16"/>
      <c r="F41" s="16"/>
      <c r="G41" s="16"/>
      <c r="H41" s="17" t="str">
        <f aca="false">IF(A41="","",IF(AND(C41="Yes",D41="Yes",E41&gt;=$B$3,F41="Yes",G41="Yes"),"Warm qualified - hand to human",IF(G41="Yes","Nurture - fails fit or role","No action")))</f>
        <v/>
      </c>
      <c r="I41" s="4" t="str">
        <f aca="false">IF(A41="","",IF(H41="Warm qualified - hand to human","All three tests met",IF(H41="No action","No intent signal yet",TRIM(IF(C41&lt;&gt;"Yes","Segment not a fit. ","")&amp;IF(D41&lt;&gt;"Yes","Country not permitted. ","")&amp;IF(E41&lt;$B$3,"Team below minimum. ","")&amp;IF(F41&lt;&gt;"Yes","Role not a target. ","")))))</f>
        <v/>
      </c>
    </row>
    <row r="42" customFormat="false" ht="15" hidden="false" customHeight="false" outlineLevel="0" collapsed="false">
      <c r="A42" s="15"/>
      <c r="B42" s="16"/>
      <c r="C42" s="16"/>
      <c r="D42" s="16"/>
      <c r="E42" s="16"/>
      <c r="F42" s="16"/>
      <c r="G42" s="16"/>
      <c r="H42" s="17" t="str">
        <f aca="false">IF(A42="","",IF(AND(C42="Yes",D42="Yes",E42&gt;=$B$3,F42="Yes",G42="Yes"),"Warm qualified - hand to human",IF(G42="Yes","Nurture - fails fit or role","No action")))</f>
        <v/>
      </c>
      <c r="I42" s="4" t="str">
        <f aca="false">IF(A42="","",IF(H42="Warm qualified - hand to human","All three tests met",IF(H42="No action","No intent signal yet",TRIM(IF(C42&lt;&gt;"Yes","Segment not a fit. ","")&amp;IF(D42&lt;&gt;"Yes","Country not permitted. ","")&amp;IF(E42&lt;$B$3,"Team below minimum. ","")&amp;IF(F42&lt;&gt;"Yes","Role not a target. ","")))))</f>
        <v/>
      </c>
    </row>
    <row r="43" customFormat="false" ht="15" hidden="false" customHeight="false" outlineLevel="0" collapsed="false">
      <c r="A43" s="15"/>
      <c r="B43" s="16"/>
      <c r="C43" s="16"/>
      <c r="D43" s="16"/>
      <c r="E43" s="16"/>
      <c r="F43" s="16"/>
      <c r="G43" s="16"/>
      <c r="H43" s="17" t="str">
        <f aca="false">IF(A43="","",IF(AND(C43="Yes",D43="Yes",E43&gt;=$B$3,F43="Yes",G43="Yes"),"Warm qualified - hand to human",IF(G43="Yes","Nurture - fails fit or role","No action")))</f>
        <v/>
      </c>
      <c r="I43" s="4" t="str">
        <f aca="false">IF(A43="","",IF(H43="Warm qualified - hand to human","All three tests met",IF(H43="No action","No intent signal yet",TRIM(IF(C43&lt;&gt;"Yes","Segment not a fit. ","")&amp;IF(D43&lt;&gt;"Yes","Country not permitted. ","")&amp;IF(E43&lt;$B$3,"Team below minimum. ","")&amp;IF(F43&lt;&gt;"Yes","Role not a target. ","")))))</f>
        <v/>
      </c>
    </row>
    <row r="44" customFormat="false" ht="15" hidden="false" customHeight="false" outlineLevel="0" collapsed="false">
      <c r="A44" s="15"/>
      <c r="B44" s="16"/>
      <c r="C44" s="16"/>
      <c r="D44" s="16"/>
      <c r="E44" s="16"/>
      <c r="F44" s="16"/>
      <c r="G44" s="16"/>
      <c r="H44" s="17" t="str">
        <f aca="false">IF(A44="","",IF(AND(C44="Yes",D44="Yes",E44&gt;=$B$3,F44="Yes",G44="Yes"),"Warm qualified - hand to human",IF(G44="Yes","Nurture - fails fit or role","No action")))</f>
        <v/>
      </c>
      <c r="I44" s="4" t="str">
        <f aca="false">IF(A44="","",IF(H44="Warm qualified - hand to human","All three tests met",IF(H44="No action","No intent signal yet",TRIM(IF(C44&lt;&gt;"Yes","Segment not a fit. ","")&amp;IF(D44&lt;&gt;"Yes","Country not permitted. ","")&amp;IF(E44&lt;$B$3,"Team below minimum. ","")&amp;IF(F44&lt;&gt;"Yes","Role not a target. ","")))))</f>
        <v/>
      </c>
    </row>
    <row r="45" customFormat="false" ht="15" hidden="false" customHeight="false" outlineLevel="0" collapsed="false">
      <c r="A45" s="15"/>
      <c r="B45" s="16"/>
      <c r="C45" s="16"/>
      <c r="D45" s="16"/>
      <c r="E45" s="16"/>
      <c r="F45" s="16"/>
      <c r="G45" s="16"/>
      <c r="H45" s="17" t="str">
        <f aca="false">IF(A45="","",IF(AND(C45="Yes",D45="Yes",E45&gt;=$B$3,F45="Yes",G45="Yes"),"Warm qualified - hand to human",IF(G45="Yes","Nurture - fails fit or role","No action")))</f>
        <v/>
      </c>
      <c r="I45" s="4" t="str">
        <f aca="false">IF(A45="","",IF(H45="Warm qualified - hand to human","All three tests met",IF(H45="No action","No intent signal yet",TRIM(IF(C45&lt;&gt;"Yes","Segment not a fit. ","")&amp;IF(D45&lt;&gt;"Yes","Country not permitted. ","")&amp;IF(E45&lt;$B$3,"Team below minimum. ","")&amp;IF(F45&lt;&gt;"Yes","Role not a target. ","")))))</f>
        <v/>
      </c>
    </row>
    <row r="46" customFormat="false" ht="15" hidden="false" customHeight="false" outlineLevel="0" collapsed="false">
      <c r="A46" s="15"/>
      <c r="B46" s="16"/>
      <c r="C46" s="16"/>
      <c r="D46" s="16"/>
      <c r="E46" s="16"/>
      <c r="F46" s="16"/>
      <c r="G46" s="16"/>
      <c r="H46" s="17" t="str">
        <f aca="false">IF(A46="","",IF(AND(C46="Yes",D46="Yes",E46&gt;=$B$3,F46="Yes",G46="Yes"),"Warm qualified - hand to human",IF(G46="Yes","Nurture - fails fit or role","No action")))</f>
        <v/>
      </c>
      <c r="I46" s="4" t="str">
        <f aca="false">IF(A46="","",IF(H46="Warm qualified - hand to human","All three tests met",IF(H46="No action","No intent signal yet",TRIM(IF(C46&lt;&gt;"Yes","Segment not a fit. ","")&amp;IF(D46&lt;&gt;"Yes","Country not permitted. ","")&amp;IF(E46&lt;$B$3,"Team below minimum. ","")&amp;IF(F46&lt;&gt;"Yes","Role not a target. ","")))))</f>
        <v/>
      </c>
    </row>
    <row r="47" customFormat="false" ht="15" hidden="false" customHeight="false" outlineLevel="0" collapsed="false">
      <c r="A47" s="15"/>
      <c r="B47" s="16"/>
      <c r="C47" s="16"/>
      <c r="D47" s="16"/>
      <c r="E47" s="16"/>
      <c r="F47" s="16"/>
      <c r="G47" s="16"/>
      <c r="H47" s="17" t="str">
        <f aca="false">IF(A47="","",IF(AND(C47="Yes",D47="Yes",E47&gt;=$B$3,F47="Yes",G47="Yes"),"Warm qualified - hand to human",IF(G47="Yes","Nurture - fails fit or role","No action")))</f>
        <v/>
      </c>
      <c r="I47" s="4" t="str">
        <f aca="false">IF(A47="","",IF(H47="Warm qualified - hand to human","All three tests met",IF(H47="No action","No intent signal yet",TRIM(IF(C47&lt;&gt;"Yes","Segment not a fit. ","")&amp;IF(D47&lt;&gt;"Yes","Country not permitted. ","")&amp;IF(E47&lt;$B$3,"Team below minimum. ","")&amp;IF(F47&lt;&gt;"Yes","Role not a target. ","")))))</f>
        <v/>
      </c>
    </row>
    <row r="48" customFormat="false" ht="15" hidden="false" customHeight="false" outlineLevel="0" collapsed="false">
      <c r="A48" s="15"/>
      <c r="B48" s="16"/>
      <c r="C48" s="16"/>
      <c r="D48" s="16"/>
      <c r="E48" s="16"/>
      <c r="F48" s="16"/>
      <c r="G48" s="16"/>
      <c r="H48" s="17" t="str">
        <f aca="false">IF(A48="","",IF(AND(C48="Yes",D48="Yes",E48&gt;=$B$3,F48="Yes",G48="Yes"),"Warm qualified - hand to human",IF(G48="Yes","Nurture - fails fit or role","No action")))</f>
        <v/>
      </c>
      <c r="I48" s="4" t="str">
        <f aca="false">IF(A48="","",IF(H48="Warm qualified - hand to human","All three tests met",IF(H48="No action","No intent signal yet",TRIM(IF(C48&lt;&gt;"Yes","Segment not a fit. ","")&amp;IF(D48&lt;&gt;"Yes","Country not permitted. ","")&amp;IF(E48&lt;$B$3,"Team below minimum. ","")&amp;IF(F48&lt;&gt;"Yes","Role not a target. ","")))))</f>
        <v/>
      </c>
    </row>
    <row r="49" customFormat="false" ht="15" hidden="false" customHeight="false" outlineLevel="0" collapsed="false">
      <c r="A49" s="15"/>
      <c r="B49" s="16"/>
      <c r="C49" s="16"/>
      <c r="D49" s="16"/>
      <c r="E49" s="16"/>
      <c r="F49" s="16"/>
      <c r="G49" s="16"/>
      <c r="H49" s="17" t="str">
        <f aca="false">IF(A49="","",IF(AND(C49="Yes",D49="Yes",E49&gt;=$B$3,F49="Yes",G49="Yes"),"Warm qualified - hand to human",IF(G49="Yes","Nurture - fails fit or role","No action")))</f>
        <v/>
      </c>
      <c r="I49" s="4" t="str">
        <f aca="false">IF(A49="","",IF(H49="Warm qualified - hand to human","All three tests met",IF(H49="No action","No intent signal yet",TRIM(IF(C49&lt;&gt;"Yes","Segment not a fit. ","")&amp;IF(D49&lt;&gt;"Yes","Country not permitted. ","")&amp;IF(E49&lt;$B$3,"Team below minimum. ","")&amp;IF(F49&lt;&gt;"Yes","Role not a target. ","")))))</f>
        <v/>
      </c>
    </row>
    <row r="50" customFormat="false" ht="15" hidden="false" customHeight="false" outlineLevel="0" collapsed="false">
      <c r="A50" s="15"/>
      <c r="B50" s="16"/>
      <c r="C50" s="16"/>
      <c r="D50" s="16"/>
      <c r="E50" s="16"/>
      <c r="F50" s="16"/>
      <c r="G50" s="16"/>
      <c r="H50" s="17" t="str">
        <f aca="false">IF(A50="","",IF(AND(C50="Yes",D50="Yes",E50&gt;=$B$3,F50="Yes",G50="Yes"),"Warm qualified - hand to human",IF(G50="Yes","Nurture - fails fit or role","No action")))</f>
        <v/>
      </c>
      <c r="I50" s="4" t="str">
        <f aca="false">IF(A50="","",IF(H50="Warm qualified - hand to human","All three tests met",IF(H50="No action","No intent signal yet",TRIM(IF(C50&lt;&gt;"Yes","Segment not a fit. ","")&amp;IF(D50&lt;&gt;"Yes","Country not permitted. ","")&amp;IF(E50&lt;$B$3,"Team below minimum. ","")&amp;IF(F50&lt;&gt;"Yes","Role not a target. ","")))))</f>
        <v/>
      </c>
    </row>
    <row r="51" customFormat="false" ht="15" hidden="false" customHeight="false" outlineLevel="0" collapsed="false">
      <c r="A51" s="15"/>
      <c r="B51" s="16"/>
      <c r="C51" s="16"/>
      <c r="D51" s="16"/>
      <c r="E51" s="16"/>
      <c r="F51" s="16"/>
      <c r="G51" s="16"/>
      <c r="H51" s="17" t="str">
        <f aca="false">IF(A51="","",IF(AND(C51="Yes",D51="Yes",E51&gt;=$B$3,F51="Yes",G51="Yes"),"Warm qualified - hand to human",IF(G51="Yes","Nurture - fails fit or role","No action")))</f>
        <v/>
      </c>
      <c r="I51" s="4" t="str">
        <f aca="false">IF(A51="","",IF(H51="Warm qualified - hand to human","All three tests met",IF(H51="No action","No intent signal yet",TRIM(IF(C51&lt;&gt;"Yes","Segment not a fit. ","")&amp;IF(D51&lt;&gt;"Yes","Country not permitted. ","")&amp;IF(E51&lt;$B$3,"Team below minimum. ","")&amp;IF(F51&lt;&gt;"Yes","Role not a target. ","")))))</f>
        <v/>
      </c>
    </row>
    <row r="52" customFormat="false" ht="15" hidden="false" customHeight="false" outlineLevel="0" collapsed="false">
      <c r="A52" s="15"/>
      <c r="B52" s="16"/>
      <c r="C52" s="16"/>
      <c r="D52" s="16"/>
      <c r="E52" s="16"/>
      <c r="F52" s="16"/>
      <c r="G52" s="16"/>
      <c r="H52" s="17" t="str">
        <f aca="false">IF(A52="","",IF(AND(C52="Yes",D52="Yes",E52&gt;=$B$3,F52="Yes",G52="Yes"),"Warm qualified - hand to human",IF(G52="Yes","Nurture - fails fit or role","No action")))</f>
        <v/>
      </c>
      <c r="I52" s="4" t="str">
        <f aca="false">IF(A52="","",IF(H52="Warm qualified - hand to human","All three tests met",IF(H52="No action","No intent signal yet",TRIM(IF(C52&lt;&gt;"Yes","Segment not a fit. ","")&amp;IF(D52&lt;&gt;"Yes","Country not permitted. ","")&amp;IF(E52&lt;$B$3,"Team below minimum. ","")&amp;IF(F52&lt;&gt;"Yes","Role not a target. ","")))))</f>
        <v/>
      </c>
    </row>
    <row r="53" customFormat="false" ht="15" hidden="false" customHeight="false" outlineLevel="0" collapsed="false">
      <c r="A53" s="15"/>
      <c r="B53" s="16"/>
      <c r="C53" s="16"/>
      <c r="D53" s="16"/>
      <c r="E53" s="16"/>
      <c r="F53" s="16"/>
      <c r="G53" s="16"/>
      <c r="H53" s="17" t="str">
        <f aca="false">IF(A53="","",IF(AND(C53="Yes",D53="Yes",E53&gt;=$B$3,F53="Yes",G53="Yes"),"Warm qualified - hand to human",IF(G53="Yes","Nurture - fails fit or role","No action")))</f>
        <v/>
      </c>
      <c r="I53" s="4" t="str">
        <f aca="false">IF(A53="","",IF(H53="Warm qualified - hand to human","All three tests met",IF(H53="No action","No intent signal yet",TRIM(IF(C53&lt;&gt;"Yes","Segment not a fit. ","")&amp;IF(D53&lt;&gt;"Yes","Country not permitted. ","")&amp;IF(E53&lt;$B$3,"Team below minimum. ","")&amp;IF(F53&lt;&gt;"Yes","Role not a target. ","")))))</f>
        <v/>
      </c>
    </row>
    <row r="54" customFormat="false" ht="15" hidden="false" customHeight="false" outlineLevel="0" collapsed="false">
      <c r="A54" s="15"/>
      <c r="B54" s="16"/>
      <c r="C54" s="16"/>
      <c r="D54" s="16"/>
      <c r="E54" s="16"/>
      <c r="F54" s="16"/>
      <c r="G54" s="16"/>
      <c r="H54" s="17" t="str">
        <f aca="false">IF(A54="","",IF(AND(C54="Yes",D54="Yes",E54&gt;=$B$3,F54="Yes",G54="Yes"),"Warm qualified - hand to human",IF(G54="Yes","Nurture - fails fit or role","No action")))</f>
        <v/>
      </c>
      <c r="I54" s="4" t="str">
        <f aca="false">IF(A54="","",IF(H54="Warm qualified - hand to human","All three tests met",IF(H54="No action","No intent signal yet",TRIM(IF(C54&lt;&gt;"Yes","Segment not a fit. ","")&amp;IF(D54&lt;&gt;"Yes","Country not permitted. ","")&amp;IF(E54&lt;$B$3,"Team below minimum. ","")&amp;IF(F54&lt;&gt;"Yes","Role not a target. ","")))))</f>
        <v/>
      </c>
    </row>
    <row r="55" customFormat="false" ht="15" hidden="false" customHeight="false" outlineLevel="0" collapsed="false">
      <c r="A55" s="15"/>
      <c r="B55" s="16"/>
      <c r="C55" s="16"/>
      <c r="D55" s="16"/>
      <c r="E55" s="16"/>
      <c r="F55" s="16"/>
      <c r="G55" s="16"/>
      <c r="H55" s="17" t="str">
        <f aca="false">IF(A55="","",IF(AND(C55="Yes",D55="Yes",E55&gt;=$B$3,F55="Yes",G55="Yes"),"Warm qualified - hand to human",IF(G55="Yes","Nurture - fails fit or role","No action")))</f>
        <v/>
      </c>
      <c r="I55" s="4" t="str">
        <f aca="false">IF(A55="","",IF(H55="Warm qualified - hand to human","All three tests met",IF(H55="No action","No intent signal yet",TRIM(IF(C55&lt;&gt;"Yes","Segment not a fit. ","")&amp;IF(D55&lt;&gt;"Yes","Country not permitted. ","")&amp;IF(E55&lt;$B$3,"Team below minimum. ","")&amp;IF(F55&lt;&gt;"Yes","Role not a target. ","")))))</f>
        <v/>
      </c>
    </row>
    <row r="56" customFormat="false" ht="15" hidden="false" customHeight="false" outlineLevel="0" collapsed="false">
      <c r="A56" s="15"/>
      <c r="B56" s="16"/>
      <c r="C56" s="16"/>
      <c r="D56" s="16"/>
      <c r="E56" s="16"/>
      <c r="F56" s="16"/>
      <c r="G56" s="16"/>
      <c r="H56" s="17" t="str">
        <f aca="false">IF(A56="","",IF(AND(C56="Yes",D56="Yes",E56&gt;=$B$3,F56="Yes",G56="Yes"),"Warm qualified - hand to human",IF(G56="Yes","Nurture - fails fit or role","No action")))</f>
        <v/>
      </c>
      <c r="I56" s="4" t="str">
        <f aca="false">IF(A56="","",IF(H56="Warm qualified - hand to human","All three tests met",IF(H56="No action","No intent signal yet",TRIM(IF(C56&lt;&gt;"Yes","Segment not a fit. ","")&amp;IF(D56&lt;&gt;"Yes","Country not permitted. ","")&amp;IF(E56&lt;$B$3,"Team below minimum. ","")&amp;IF(F56&lt;&gt;"Yes","Role not a target. ","")))))</f>
        <v/>
      </c>
    </row>
    <row r="58" customFormat="false" ht="15" hidden="false" customHeight="false" outlineLevel="0" collapsed="false">
      <c r="A58" s="8" t="s">
        <v>88</v>
      </c>
    </row>
  </sheetData>
  <dataValidations count="2">
    <dataValidation allowBlank="true" errorStyle="stop" operator="between" showDropDown="false" showErrorMessage="false" showInputMessage="false" sqref="C7:D56 F7:G56" type="list">
      <formula1>"Yes,No"</formula1>
      <formula2>0</formula2>
    </dataValidation>
    <dataValidation allowBlank="true" errorStyle="stop" operator="greaterThanOrEqual" showDropDown="false" showErrorMessage="false" showInputMessage="false" sqref="E7:E5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A3" s="6" t="s">
        <v>91</v>
      </c>
    </row>
    <row r="4" customFormat="false" ht="21.75" hidden="false" customHeight="true" outlineLevel="0" collapsed="false">
      <c r="A4" s="9" t="s">
        <v>92</v>
      </c>
      <c r="B4" s="9" t="s">
        <v>93</v>
      </c>
    </row>
    <row r="5" customFormat="false" ht="15" hidden="false" customHeight="false" outlineLevel="0" collapsed="false">
      <c r="A5" s="3" t="s">
        <v>94</v>
      </c>
      <c r="B5" s="4" t="s">
        <v>95</v>
      </c>
    </row>
    <row r="6" customFormat="false" ht="15" hidden="false" customHeight="false" outlineLevel="0" collapsed="false">
      <c r="A6" s="3" t="s">
        <v>96</v>
      </c>
      <c r="B6" s="4" t="s">
        <v>97</v>
      </c>
    </row>
    <row r="7" customFormat="false" ht="15" hidden="false" customHeight="false" outlineLevel="0" collapsed="false">
      <c r="A7" s="3" t="s">
        <v>98</v>
      </c>
      <c r="B7" s="4" t="s">
        <v>99</v>
      </c>
    </row>
    <row r="8" customFormat="false" ht="15" hidden="false" customHeight="false" outlineLevel="0" collapsed="false">
      <c r="A8" s="3" t="s">
        <v>100</v>
      </c>
      <c r="B8" s="4" t="s">
        <v>101</v>
      </c>
    </row>
    <row r="9" customFormat="false" ht="15" hidden="false" customHeight="false" outlineLevel="0" collapsed="false">
      <c r="A9" s="3" t="s">
        <v>102</v>
      </c>
      <c r="B9" s="4" t="s">
        <v>103</v>
      </c>
    </row>
    <row r="11" customFormat="false" ht="15" hidden="false" customHeight="false" outlineLevel="0" collapsed="false">
      <c r="A11" s="6" t="s">
        <v>104</v>
      </c>
    </row>
    <row r="12" customFormat="false" ht="21.75" hidden="false" customHeight="true" outlineLevel="0" collapsed="false">
      <c r="A12" s="9" t="s">
        <v>92</v>
      </c>
      <c r="B12" s="9" t="s">
        <v>93</v>
      </c>
    </row>
    <row r="13" customFormat="false" ht="15" hidden="false" customHeight="false" outlineLevel="0" collapsed="false">
      <c r="A13" s="3" t="s">
        <v>105</v>
      </c>
      <c r="B13" s="4" t="s">
        <v>106</v>
      </c>
    </row>
    <row r="14" customFormat="false" ht="15" hidden="false" customHeight="false" outlineLevel="0" collapsed="false">
      <c r="A14" s="3" t="s">
        <v>107</v>
      </c>
      <c r="B14" s="4" t="s">
        <v>108</v>
      </c>
    </row>
    <row r="16" customFormat="false" ht="15" hidden="false" customHeight="false" outlineLevel="0" collapsed="false">
      <c r="A16" s="6" t="s">
        <v>109</v>
      </c>
    </row>
    <row r="17" customFormat="false" ht="21.75" hidden="false" customHeight="true" outlineLevel="0" collapsed="false">
      <c r="A17" s="9" t="s">
        <v>110</v>
      </c>
      <c r="B17" s="9" t="s">
        <v>111</v>
      </c>
    </row>
    <row r="18" customFormat="false" ht="15" hidden="false" customHeight="false" outlineLevel="0" collapsed="false">
      <c r="A18" s="15" t="s">
        <v>112</v>
      </c>
      <c r="B18" s="4" t="s">
        <v>113</v>
      </c>
    </row>
    <row r="19" customFormat="false" ht="15" hidden="false" customHeight="false" outlineLevel="0" collapsed="false">
      <c r="A19" s="15" t="s">
        <v>114</v>
      </c>
      <c r="B19" s="4" t="s">
        <v>113</v>
      </c>
    </row>
    <row r="20" customFormat="false" ht="15" hidden="false" customHeight="false" outlineLevel="0" collapsed="false">
      <c r="A20" s="15" t="s">
        <v>115</v>
      </c>
      <c r="B20" s="4" t="s">
        <v>113</v>
      </c>
    </row>
    <row r="21" customFormat="false" ht="15" hidden="false" customHeight="false" outlineLevel="0" collapsed="false">
      <c r="A21" s="15" t="s">
        <v>116</v>
      </c>
      <c r="B21" s="4" t="s">
        <v>113</v>
      </c>
    </row>
    <row r="22" customFormat="false" ht="15" hidden="false" customHeight="false" outlineLevel="0" collapsed="false">
      <c r="A22" s="15" t="s">
        <v>117</v>
      </c>
      <c r="B22" s="4" t="s">
        <v>113</v>
      </c>
    </row>
    <row r="23" customFormat="false" ht="15" hidden="false" customHeight="false" outlineLevel="0" collapsed="false">
      <c r="A23" s="15" t="s">
        <v>118</v>
      </c>
      <c r="B23" s="4" t="s">
        <v>113</v>
      </c>
    </row>
    <row r="24" customFormat="false" ht="15" hidden="false" customHeight="false" outlineLevel="0" collapsed="false">
      <c r="A24" s="15" t="s">
        <v>119</v>
      </c>
      <c r="B24" s="4" t="s">
        <v>113</v>
      </c>
    </row>
    <row r="25" customFormat="false" ht="15" hidden="false" customHeight="false" outlineLevel="0" collapsed="false">
      <c r="A25" s="15"/>
      <c r="B25" s="18" t="s">
        <v>120</v>
      </c>
    </row>
    <row r="26" customFormat="false" ht="15" hidden="false" customHeight="false" outlineLevel="0" collapsed="false">
      <c r="A26" s="15"/>
      <c r="B26" s="18" t="s">
        <v>120</v>
      </c>
    </row>
    <row r="27" customFormat="false" ht="15" hidden="false" customHeight="false" outlineLevel="0" collapsed="false">
      <c r="A27" s="15"/>
      <c r="B27" s="18" t="s">
        <v>120</v>
      </c>
    </row>
    <row r="28" customFormat="false" ht="15" hidden="false" customHeight="false" outlineLevel="0" collapsed="false">
      <c r="A28" s="15"/>
      <c r="B28" s="18" t="s">
        <v>120</v>
      </c>
    </row>
    <row r="29" customFormat="false" ht="15" hidden="false" customHeight="false" outlineLevel="0" collapsed="false">
      <c r="A29" s="15"/>
      <c r="B29" s="18" t="s">
        <v>120</v>
      </c>
    </row>
    <row r="30" customFormat="false" ht="15" hidden="false" customHeight="false" outlineLevel="0" collapsed="false">
      <c r="A30" s="8" t="s">
        <v>121</v>
      </c>
    </row>
    <row r="32" customFormat="false" ht="15" hidden="false" customHeight="false" outlineLevel="0" collapsed="false">
      <c r="A32" s="6" t="s">
        <v>122</v>
      </c>
    </row>
    <row r="33" customFormat="false" ht="15" hidden="false" customHeight="false" outlineLevel="0" collapsed="false">
      <c r="A33" s="3" t="s">
        <v>123</v>
      </c>
      <c r="B33" s="15" t="s">
        <v>124</v>
      </c>
    </row>
    <row r="34" customFormat="false" ht="15" hidden="false" customHeight="false" outlineLevel="0" collapsed="false">
      <c r="A34" s="3" t="s">
        <v>83</v>
      </c>
      <c r="B34" s="17" t="str">
        <f aca="false">IF(TRIM(B33)="","Paste a reply above",IF(SUMPRODUCT((A18:A29&lt;&gt;"")*ISNUMBER(SEARCH(A18:A29,B33)))&gt;0,"ESCALATE to a human","No keyword hit - AI may proceed within the other rules"))</f>
        <v>ESCALATE to a human</v>
      </c>
    </row>
    <row r="35" customFormat="false" ht="15" hidden="false" customHeight="false" outlineLevel="0" collapsed="false">
      <c r="A35" s="3" t="s">
        <v>125</v>
      </c>
      <c r="B35" s="19" t="n">
        <f aca="false">IF(TRIM(B33)="","",SUMPRODUCT((A18:A29&lt;&gt;"")*ISNUMBER(SEARCH(A18:A29,B33))))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6" t="s">
        <v>128</v>
      </c>
    </row>
    <row r="4" customFormat="false" ht="21.75" hidden="false" customHeight="true" outlineLevel="0" collapsed="false">
      <c r="A4" s="9" t="s">
        <v>30</v>
      </c>
      <c r="B4" s="9" t="s">
        <v>129</v>
      </c>
      <c r="C4" s="9" t="s">
        <v>130</v>
      </c>
      <c r="D4" s="9" t="s">
        <v>131</v>
      </c>
      <c r="E4" s="9" t="s">
        <v>132</v>
      </c>
    </row>
    <row r="5" customFormat="false" ht="18" hidden="false" customHeight="true" outlineLevel="0" collapsed="false">
      <c r="A5" s="10" t="n">
        <v>1</v>
      </c>
      <c r="B5" s="17" t="s">
        <v>133</v>
      </c>
      <c r="C5" s="4" t="s">
        <v>134</v>
      </c>
      <c r="D5" s="15"/>
      <c r="E5" s="15" t="s">
        <v>135</v>
      </c>
    </row>
    <row r="6" customFormat="false" ht="18" hidden="false" customHeight="true" outlineLevel="0" collapsed="false">
      <c r="A6" s="10" t="n">
        <v>2</v>
      </c>
      <c r="B6" s="17" t="s">
        <v>136</v>
      </c>
      <c r="C6" s="4" t="s">
        <v>137</v>
      </c>
      <c r="D6" s="15"/>
      <c r="E6" s="15" t="s">
        <v>135</v>
      </c>
    </row>
    <row r="7" customFormat="false" ht="31.5" hidden="false" customHeight="true" outlineLevel="0" collapsed="false">
      <c r="A7" s="10" t="n">
        <v>3</v>
      </c>
      <c r="B7" s="17" t="s">
        <v>138</v>
      </c>
      <c r="C7" s="4" t="s">
        <v>139</v>
      </c>
      <c r="D7" s="15"/>
      <c r="E7" s="15" t="s">
        <v>135</v>
      </c>
    </row>
    <row r="8" customFormat="false" ht="18" hidden="false" customHeight="true" outlineLevel="0" collapsed="false">
      <c r="A8" s="10" t="n">
        <v>4</v>
      </c>
      <c r="B8" s="17" t="s">
        <v>140</v>
      </c>
      <c r="C8" s="4" t="s">
        <v>141</v>
      </c>
      <c r="D8" s="15"/>
      <c r="E8" s="15" t="s">
        <v>135</v>
      </c>
    </row>
    <row r="9" customFormat="false" ht="18" hidden="false" customHeight="true" outlineLevel="0" collapsed="false">
      <c r="A9" s="10" t="n">
        <v>5</v>
      </c>
      <c r="B9" s="17" t="s">
        <v>142</v>
      </c>
      <c r="C9" s="4" t="s">
        <v>143</v>
      </c>
      <c r="D9" s="15"/>
      <c r="E9" s="15" t="s">
        <v>135</v>
      </c>
    </row>
    <row r="10" customFormat="false" ht="18" hidden="false" customHeight="true" outlineLevel="0" collapsed="false">
      <c r="A10" s="10" t="n">
        <v>6</v>
      </c>
      <c r="B10" s="17" t="s">
        <v>144</v>
      </c>
      <c r="C10" s="4" t="s">
        <v>145</v>
      </c>
      <c r="D10" s="15"/>
      <c r="E10" s="15" t="s">
        <v>135</v>
      </c>
    </row>
    <row r="12" customFormat="false" ht="15" hidden="false" customHeight="false" outlineLevel="0" collapsed="false">
      <c r="A12" s="6" t="s">
        <v>146</v>
      </c>
    </row>
    <row r="13" customFormat="false" ht="21.75" hidden="false" customHeight="true" outlineLevel="0" collapsed="false">
      <c r="A13" s="9" t="s">
        <v>30</v>
      </c>
      <c r="B13" s="9" t="s">
        <v>147</v>
      </c>
      <c r="C13" s="9" t="s">
        <v>130</v>
      </c>
      <c r="D13" s="9" t="s">
        <v>131</v>
      </c>
      <c r="E13" s="9" t="s">
        <v>132</v>
      </c>
    </row>
    <row r="14" customFormat="false" ht="18" hidden="false" customHeight="true" outlineLevel="0" collapsed="false">
      <c r="A14" s="10" t="n">
        <v>1</v>
      </c>
      <c r="B14" s="17" t="s">
        <v>148</v>
      </c>
      <c r="C14" s="4" t="s">
        <v>149</v>
      </c>
      <c r="D14" s="15"/>
      <c r="E14" s="15" t="s">
        <v>135</v>
      </c>
    </row>
    <row r="15" customFormat="false" ht="18" hidden="false" customHeight="true" outlineLevel="0" collapsed="false">
      <c r="A15" s="10" t="n">
        <v>2</v>
      </c>
      <c r="B15" s="17" t="s">
        <v>150</v>
      </c>
      <c r="C15" s="4" t="s">
        <v>151</v>
      </c>
      <c r="D15" s="15"/>
      <c r="E15" s="15" t="s">
        <v>135</v>
      </c>
    </row>
    <row r="16" customFormat="false" ht="18" hidden="false" customHeight="true" outlineLevel="0" collapsed="false">
      <c r="A16" s="10" t="n">
        <v>3</v>
      </c>
      <c r="B16" s="17" t="s">
        <v>152</v>
      </c>
      <c r="C16" s="4" t="s">
        <v>153</v>
      </c>
      <c r="D16" s="15"/>
      <c r="E16" s="15" t="s">
        <v>135</v>
      </c>
    </row>
    <row r="17" customFormat="false" ht="18" hidden="false" customHeight="true" outlineLevel="0" collapsed="false">
      <c r="A17" s="10" t="n">
        <v>4</v>
      </c>
      <c r="B17" s="17" t="s">
        <v>154</v>
      </c>
      <c r="C17" s="4" t="s">
        <v>155</v>
      </c>
      <c r="D17" s="15"/>
      <c r="E17" s="15" t="s">
        <v>135</v>
      </c>
    </row>
    <row r="18" customFormat="false" ht="18" hidden="false" customHeight="true" outlineLevel="0" collapsed="false">
      <c r="A18" s="10" t="n">
        <v>5</v>
      </c>
      <c r="B18" s="17" t="s">
        <v>156</v>
      </c>
      <c r="C18" s="4" t="s">
        <v>157</v>
      </c>
      <c r="D18" s="15"/>
      <c r="E18" s="15" t="s">
        <v>135</v>
      </c>
    </row>
    <row r="19" customFormat="false" ht="31.5" hidden="false" customHeight="true" outlineLevel="0" collapsed="false">
      <c r="A19" s="10" t="n">
        <v>6</v>
      </c>
      <c r="B19" s="17" t="s">
        <v>158</v>
      </c>
      <c r="C19" s="4" t="s">
        <v>159</v>
      </c>
      <c r="D19" s="15"/>
      <c r="E19" s="15" t="s">
        <v>135</v>
      </c>
    </row>
  </sheetData>
  <dataValidations count="1">
    <dataValidation allowBlank="true" errorStyle="stop" operator="between" showDropDown="false" showErrorMessage="false" showInputMessage="false" sqref="E5:E10 E14:E19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6" t="s">
        <v>162</v>
      </c>
    </row>
    <row r="4" customFormat="false" ht="21.75" hidden="false" customHeight="true" outlineLevel="0" collapsed="false">
      <c r="A4" s="9" t="s">
        <v>163</v>
      </c>
      <c r="B4" s="9" t="s">
        <v>164</v>
      </c>
      <c r="C4" s="9" t="s">
        <v>165</v>
      </c>
      <c r="D4" s="9" t="s">
        <v>166</v>
      </c>
    </row>
    <row r="5" customFormat="false" ht="15" hidden="false" customHeight="false" outlineLevel="0" collapsed="false">
      <c r="A5" s="3" t="s">
        <v>167</v>
      </c>
      <c r="B5" s="4" t="s">
        <v>168</v>
      </c>
      <c r="C5" s="20" t="n">
        <v>1</v>
      </c>
      <c r="D5" s="20" t="n">
        <v>1</v>
      </c>
    </row>
    <row r="6" customFormat="false" ht="15" hidden="false" customHeight="false" outlineLevel="0" collapsed="false">
      <c r="A6" s="3" t="s">
        <v>169</v>
      </c>
      <c r="B6" s="4" t="s">
        <v>170</v>
      </c>
      <c r="C6" s="20" t="n">
        <v>0.1</v>
      </c>
      <c r="D6" s="20" t="n">
        <v>0.2</v>
      </c>
    </row>
    <row r="8" customFormat="false" ht="15" hidden="false" customHeight="false" outlineLevel="0" collapsed="false">
      <c r="A8" s="6" t="s">
        <v>171</v>
      </c>
    </row>
    <row r="9" customFormat="false" ht="21.75" hidden="false" customHeight="true" outlineLevel="0" collapsed="false">
      <c r="A9" s="9" t="s">
        <v>172</v>
      </c>
      <c r="B9" s="9" t="s">
        <v>130</v>
      </c>
      <c r="C9" s="9" t="s">
        <v>131</v>
      </c>
    </row>
    <row r="10" customFormat="false" ht="15" hidden="false" customHeight="false" outlineLevel="0" collapsed="false">
      <c r="A10" s="3" t="s">
        <v>171</v>
      </c>
      <c r="B10" s="4" t="s">
        <v>173</v>
      </c>
      <c r="C10" s="15"/>
    </row>
    <row r="12" customFormat="false" ht="15" hidden="false" customHeight="false" outlineLevel="0" collapsed="false">
      <c r="A12" s="6" t="s">
        <v>174</v>
      </c>
    </row>
    <row r="13" customFormat="false" ht="21.75" hidden="false" customHeight="true" outlineLevel="0" collapsed="false">
      <c r="A13" s="9" t="s">
        <v>175</v>
      </c>
      <c r="B13" s="9" t="s">
        <v>176</v>
      </c>
      <c r="C13" s="9" t="s">
        <v>177</v>
      </c>
    </row>
    <row r="14" customFormat="false" ht="15" hidden="false" customHeight="false" outlineLevel="0" collapsed="false">
      <c r="A14" s="3" t="s">
        <v>178</v>
      </c>
      <c r="B14" s="4" t="s">
        <v>179</v>
      </c>
      <c r="C14" s="16"/>
    </row>
    <row r="15" customFormat="false" ht="15" hidden="false" customHeight="false" outlineLevel="0" collapsed="false">
      <c r="A15" s="3" t="s">
        <v>180</v>
      </c>
      <c r="B15" s="4" t="s">
        <v>181</v>
      </c>
      <c r="C15" s="16"/>
    </row>
    <row r="16" customFormat="false" ht="15" hidden="false" customHeight="false" outlineLevel="0" collapsed="false">
      <c r="A16" s="3" t="s">
        <v>182</v>
      </c>
      <c r="B16" s="4" t="s">
        <v>183</v>
      </c>
      <c r="C16" s="21" t="str">
        <f aca="false">IF(N(C14)=0,"",C15/C14)</f>
        <v/>
      </c>
    </row>
    <row r="17" customFormat="false" ht="15" hidden="false" customHeight="false" outlineLevel="0" collapsed="false">
      <c r="A17" s="3" t="s">
        <v>184</v>
      </c>
      <c r="B17" s="4" t="s">
        <v>185</v>
      </c>
      <c r="C17" s="16"/>
    </row>
    <row r="18" customFormat="false" ht="15" hidden="false" customHeight="false" outlineLevel="0" collapsed="false">
      <c r="A18" s="3" t="s">
        <v>186</v>
      </c>
      <c r="B18" s="4" t="s">
        <v>187</v>
      </c>
      <c r="C18" s="22" t="str">
        <f aca="false">IF(C17="","",IF(C17=0,"On target","Investigate"))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2026-10-21T05:55:03Z</dcterms:created>
  <dc:creator>openpyxl</dc:creator>
  <dc:description/>
  <dc:language>en-US</dc:language>
  <cp:lastModifiedBy/>
  <dcterms:modified xsi:type="dcterms:W3CDTF">2026-10-21T05:55:04Z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